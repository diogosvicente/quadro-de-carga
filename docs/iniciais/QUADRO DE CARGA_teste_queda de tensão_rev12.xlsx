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Rodrigo\Documents\Dimensionamento de cabos\"/>
    </mc:Choice>
  </mc:AlternateContent>
  <xr:revisionPtr revIDLastSave="0" documentId="13_ncr:1_{57B2D2E8-EAD1-4726-8523-C02049E9EDEF}" xr6:coauthVersionLast="47" xr6:coauthVersionMax="47" xr10:uidLastSave="{00000000-0000-0000-0000-000000000000}"/>
  <bookViews>
    <workbookView xWindow="-24120" yWindow="-3540" windowWidth="24240" windowHeight="13020" tabRatio="859" xr2:uid="{00000000-000D-0000-FFFF-FFFF00000000}"/>
  </bookViews>
  <sheets>
    <sheet name="QUADRO DE CARGA" sheetId="1" r:id="rId1"/>
    <sheet name="AGRUPAMENTO" sheetId="19" r:id="rId2"/>
    <sheet name="TEMPERATURA" sheetId="18" r:id="rId3"/>
    <sheet name="DISJUNTORES" sheetId="8" r:id="rId4"/>
    <sheet name="CAP CONDUÇÃO 70º" sheetId="6" r:id="rId5"/>
    <sheet name="CAP CONDUÇÃO 90º" sheetId="12" r:id="rId6"/>
    <sheet name="AWG" sheetId="15" r:id="rId7"/>
    <sheet name="BARRAMENTO" sheetId="16" r:id="rId8"/>
    <sheet name="EQUIPAMENTOS" sheetId="4" r:id="rId9"/>
    <sheet name="FIOS POR TUBO" sheetId="3" r:id="rId10"/>
    <sheet name="QUEDA DE TENSÃO" sheetId="7" r:id="rId11"/>
    <sheet name="NEUTRO" sheetId="10" r:id="rId12"/>
    <sheet name="TERRA" sheetId="13" r:id="rId13"/>
    <sheet name="CAIXA DE PASSAGEM" sheetId="11" r:id="rId14"/>
    <sheet name="ÁREA DO CABO 90°C" sheetId="14" r:id="rId15"/>
  </sheets>
  <definedNames>
    <definedName name="_xlnm.Print_Area" localSheetId="6">AWG!$A$1:$I$28</definedName>
    <definedName name="_xlnm.Print_Area" localSheetId="8">EQUIPAMENTOS!$A$1:$J$49</definedName>
    <definedName name="_xlnm.Print_Area" localSheetId="0">'QUADRO DE CARGA'!$A$1:$BT$111</definedName>
  </definedNames>
  <calcPr calcId="191029"/>
</workbook>
</file>

<file path=xl/calcChain.xml><?xml version="1.0" encoding="utf-8"?>
<calcChain xmlns="http://schemas.openxmlformats.org/spreadsheetml/2006/main">
  <c r="BE5" i="1" l="1"/>
  <c r="BU5" i="1"/>
  <c r="BQ5" i="1" s="1"/>
  <c r="BP5" i="1"/>
  <c r="BA5" i="1"/>
  <c r="BR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AP104" i="1"/>
  <c r="AP103" i="1"/>
  <c r="AP102" i="1"/>
  <c r="AP8" i="1"/>
  <c r="AP7" i="1"/>
  <c r="AP6" i="1"/>
  <c r="AP5" i="1"/>
  <c r="AP9" i="1"/>
  <c r="BE9" i="1" s="1"/>
  <c r="AP10" i="1"/>
  <c r="BE10" i="1" s="1"/>
  <c r="AP11" i="1"/>
  <c r="BE11" i="1" s="1"/>
  <c r="AP12" i="1"/>
  <c r="BE12" i="1" s="1"/>
  <c r="AP13" i="1"/>
  <c r="BE13" i="1" s="1"/>
  <c r="AP14" i="1"/>
  <c r="BE14" i="1" s="1"/>
  <c r="AP15" i="1"/>
  <c r="BE15" i="1" s="1"/>
  <c r="AP16" i="1"/>
  <c r="BE16" i="1" s="1"/>
  <c r="AP17" i="1"/>
  <c r="BE17" i="1" s="1"/>
  <c r="AP18" i="1"/>
  <c r="BE18" i="1" s="1"/>
  <c r="AP19" i="1"/>
  <c r="BE19" i="1" s="1"/>
  <c r="AP20" i="1"/>
  <c r="BE20" i="1" s="1"/>
  <c r="AP21" i="1"/>
  <c r="BE21" i="1" s="1"/>
  <c r="AP22" i="1"/>
  <c r="BE22" i="1" s="1"/>
  <c r="AP23" i="1"/>
  <c r="BE23" i="1" s="1"/>
  <c r="AP24" i="1"/>
  <c r="BE24" i="1" s="1"/>
  <c r="AP25" i="1"/>
  <c r="BE25" i="1" s="1"/>
  <c r="AP26" i="1"/>
  <c r="BE26" i="1" s="1"/>
  <c r="AP27" i="1"/>
  <c r="BE27" i="1" s="1"/>
  <c r="AP28" i="1"/>
  <c r="BE28" i="1" s="1"/>
  <c r="AP29" i="1"/>
  <c r="BE29" i="1" s="1"/>
  <c r="AP30" i="1"/>
  <c r="BE30" i="1" s="1"/>
  <c r="AP31" i="1"/>
  <c r="BE31" i="1" s="1"/>
  <c r="AP32" i="1"/>
  <c r="BE32" i="1" s="1"/>
  <c r="AP33" i="1"/>
  <c r="BE33" i="1" s="1"/>
  <c r="AP34" i="1"/>
  <c r="BE34" i="1" s="1"/>
  <c r="AP35" i="1"/>
  <c r="BE35" i="1" s="1"/>
  <c r="AP36" i="1"/>
  <c r="BE36" i="1" s="1"/>
  <c r="AP37" i="1"/>
  <c r="BE37" i="1" s="1"/>
  <c r="AP38" i="1"/>
  <c r="BE38" i="1" s="1"/>
  <c r="AP39" i="1"/>
  <c r="BE39" i="1" s="1"/>
  <c r="AP40" i="1"/>
  <c r="BE40" i="1" s="1"/>
  <c r="AP41" i="1"/>
  <c r="BE41" i="1" s="1"/>
  <c r="AP42" i="1"/>
  <c r="BE42" i="1" s="1"/>
  <c r="AP43" i="1"/>
  <c r="BE43" i="1" s="1"/>
  <c r="AP44" i="1"/>
  <c r="BE44" i="1" s="1"/>
  <c r="AP45" i="1"/>
  <c r="BE45" i="1" s="1"/>
  <c r="AP46" i="1"/>
  <c r="BE46" i="1" s="1"/>
  <c r="AP47" i="1"/>
  <c r="BE47" i="1" s="1"/>
  <c r="AP48" i="1"/>
  <c r="BE48" i="1" s="1"/>
  <c r="AP49" i="1"/>
  <c r="BE49" i="1" s="1"/>
  <c r="AP50" i="1"/>
  <c r="BE50" i="1" s="1"/>
  <c r="AP51" i="1"/>
  <c r="BE51" i="1" s="1"/>
  <c r="AP52" i="1"/>
  <c r="BE52" i="1" s="1"/>
  <c r="AP53" i="1"/>
  <c r="BE53" i="1" s="1"/>
  <c r="AP54" i="1"/>
  <c r="BE54" i="1" s="1"/>
  <c r="AP55" i="1"/>
  <c r="BE55" i="1" s="1"/>
  <c r="AP56" i="1"/>
  <c r="BE56" i="1" s="1"/>
  <c r="AP57" i="1"/>
  <c r="BE57" i="1" s="1"/>
  <c r="AP58" i="1"/>
  <c r="BE58" i="1" s="1"/>
  <c r="AP59" i="1"/>
  <c r="BE59" i="1" s="1"/>
  <c r="AP60" i="1"/>
  <c r="BE60" i="1" s="1"/>
  <c r="AP61" i="1"/>
  <c r="BE61" i="1" s="1"/>
  <c r="AP62" i="1"/>
  <c r="BE62" i="1" s="1"/>
  <c r="AP63" i="1"/>
  <c r="BE63" i="1" s="1"/>
  <c r="AP64" i="1"/>
  <c r="BE64" i="1" s="1"/>
  <c r="AP65" i="1"/>
  <c r="BE65" i="1" s="1"/>
  <c r="AP66" i="1"/>
  <c r="BE66" i="1" s="1"/>
  <c r="AP67" i="1"/>
  <c r="BE67" i="1" s="1"/>
  <c r="AP68" i="1"/>
  <c r="BE68" i="1" s="1"/>
  <c r="AP69" i="1"/>
  <c r="BE69" i="1" s="1"/>
  <c r="AP70" i="1"/>
  <c r="BE70" i="1" s="1"/>
  <c r="AP71" i="1"/>
  <c r="BE71" i="1" s="1"/>
  <c r="AP72" i="1"/>
  <c r="BE72" i="1" s="1"/>
  <c r="AP73" i="1"/>
  <c r="BE73" i="1" s="1"/>
  <c r="AP74" i="1"/>
  <c r="BE74" i="1" s="1"/>
  <c r="AP75" i="1"/>
  <c r="BE75" i="1" s="1"/>
  <c r="AP76" i="1"/>
  <c r="BE76" i="1" s="1"/>
  <c r="AP77" i="1"/>
  <c r="BE77" i="1" s="1"/>
  <c r="AP78" i="1"/>
  <c r="BE78" i="1" s="1"/>
  <c r="AP79" i="1"/>
  <c r="BE79" i="1" s="1"/>
  <c r="AP80" i="1"/>
  <c r="BE80" i="1" s="1"/>
  <c r="AP81" i="1"/>
  <c r="BE81" i="1" s="1"/>
  <c r="AP82" i="1"/>
  <c r="BE82" i="1" s="1"/>
  <c r="AP83" i="1"/>
  <c r="BE83" i="1" s="1"/>
  <c r="AP84" i="1"/>
  <c r="BE84" i="1" s="1"/>
  <c r="AP85" i="1"/>
  <c r="BE85" i="1" s="1"/>
  <c r="AP86" i="1"/>
  <c r="BE86" i="1" s="1"/>
  <c r="AP87" i="1"/>
  <c r="BE87" i="1" s="1"/>
  <c r="AP88" i="1"/>
  <c r="BE88" i="1" s="1"/>
  <c r="AP89" i="1"/>
  <c r="BE89" i="1" s="1"/>
  <c r="AP90" i="1"/>
  <c r="BE90" i="1" s="1"/>
  <c r="AP91" i="1"/>
  <c r="BE91" i="1" s="1"/>
  <c r="AP92" i="1"/>
  <c r="BE92" i="1" s="1"/>
  <c r="AP93" i="1"/>
  <c r="BE93" i="1" s="1"/>
  <c r="AP94" i="1"/>
  <c r="BE94" i="1" s="1"/>
  <c r="AP95" i="1"/>
  <c r="BE95" i="1" s="1"/>
  <c r="AP96" i="1"/>
  <c r="BE96" i="1" s="1"/>
  <c r="AP97" i="1"/>
  <c r="BE97" i="1" s="1"/>
  <c r="AP98" i="1"/>
  <c r="BE98" i="1" s="1"/>
  <c r="AP99" i="1"/>
  <c r="BE99" i="1" s="1"/>
  <c r="AP100" i="1"/>
  <c r="BE100" i="1" s="1"/>
  <c r="AP101" i="1"/>
  <c r="BE101" i="1" s="1"/>
  <c r="BD5" i="1"/>
  <c r="BH5" i="1" l="1"/>
  <c r="B49" i="4" l="1"/>
  <c r="H49" i="4" s="1"/>
  <c r="B48" i="4"/>
  <c r="H48" i="4" s="1"/>
  <c r="B47" i="4"/>
  <c r="H47" i="4" s="1"/>
  <c r="B46" i="4"/>
  <c r="H46" i="4" s="1"/>
  <c r="B45" i="4"/>
  <c r="H45" i="4" s="1"/>
  <c r="B44" i="4"/>
  <c r="H44" i="4" s="1"/>
  <c r="B43" i="4"/>
  <c r="H43" i="4" s="1"/>
  <c r="B42" i="4"/>
  <c r="H42" i="4" s="1"/>
  <c r="B40" i="4"/>
  <c r="H40" i="4" s="1"/>
  <c r="B39" i="4"/>
  <c r="H39" i="4" s="1"/>
  <c r="B38" i="4"/>
  <c r="H38" i="4" s="1"/>
  <c r="B37" i="4"/>
  <c r="H37" i="4" s="1"/>
  <c r="B36" i="4"/>
  <c r="H36" i="4" s="1"/>
  <c r="B35" i="4"/>
  <c r="H35" i="4" s="1"/>
  <c r="B34" i="4"/>
  <c r="H34" i="4" s="1"/>
  <c r="B33" i="4"/>
  <c r="H33" i="4" s="1"/>
  <c r="B31" i="4"/>
  <c r="H31" i="4" s="1"/>
  <c r="B30" i="4"/>
  <c r="H30" i="4" s="1"/>
  <c r="B29" i="4"/>
  <c r="H29" i="4" s="1"/>
  <c r="B28" i="4"/>
  <c r="H28" i="4" s="1"/>
  <c r="B27" i="4"/>
  <c r="H27" i="4" s="1"/>
  <c r="B26" i="4"/>
  <c r="H26" i="4" s="1"/>
  <c r="B24" i="4"/>
  <c r="H24" i="4" s="1"/>
  <c r="B23" i="4"/>
  <c r="H23" i="4" s="1"/>
  <c r="B22" i="4"/>
  <c r="H22" i="4" s="1"/>
  <c r="B21" i="4"/>
  <c r="H21" i="4" s="1"/>
  <c r="B20" i="4"/>
  <c r="H20" i="4" s="1"/>
  <c r="B19" i="4"/>
  <c r="H19" i="4" s="1"/>
  <c r="B18" i="4"/>
  <c r="H18" i="4" s="1"/>
  <c r="B17" i="4"/>
  <c r="H17" i="4" s="1"/>
  <c r="B16" i="4"/>
  <c r="H16" i="4" s="1"/>
  <c r="B15" i="4"/>
  <c r="H15" i="4" s="1"/>
  <c r="B14" i="4"/>
  <c r="H14" i="4" s="1"/>
  <c r="B13" i="4"/>
  <c r="H13" i="4" s="1"/>
  <c r="B12" i="4"/>
  <c r="H12" i="4" s="1"/>
  <c r="B11" i="4"/>
  <c r="H11" i="4" s="1"/>
  <c r="B9" i="4"/>
  <c r="H9" i="4" s="1"/>
  <c r="B8" i="4"/>
  <c r="H8" i="4" s="1"/>
  <c r="B7" i="4"/>
  <c r="H7" i="4" s="1"/>
  <c r="B6" i="4"/>
  <c r="H6" i="4" s="1"/>
  <c r="B5" i="4"/>
  <c r="H5" i="4" s="1"/>
  <c r="B4" i="4"/>
  <c r="H4" i="4" s="1"/>
  <c r="B3" i="4"/>
  <c r="H3" i="4" s="1"/>
  <c r="C20" i="14" l="1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BP106" i="1" l="1"/>
  <c r="BL106" i="1" l="1"/>
  <c r="BK106" i="1"/>
  <c r="BJ106" i="1"/>
  <c r="BH6" i="1" l="1"/>
  <c r="BE6" i="1" s="1"/>
  <c r="BH7" i="1"/>
  <c r="BE7" i="1" s="1"/>
  <c r="BN7" i="1"/>
  <c r="BH8" i="1"/>
  <c r="BE8" i="1" s="1"/>
  <c r="BH9" i="1"/>
  <c r="BH10" i="1"/>
  <c r="BH11" i="1"/>
  <c r="BO11" i="1"/>
  <c r="BH12" i="1"/>
  <c r="BM12" i="1"/>
  <c r="BH13" i="1"/>
  <c r="BN13" i="1"/>
  <c r="BH14" i="1"/>
  <c r="BO14" i="1"/>
  <c r="BH15" i="1"/>
  <c r="BM15" i="1"/>
  <c r="BH16" i="1"/>
  <c r="BN16" i="1"/>
  <c r="BH17" i="1"/>
  <c r="BO17" i="1"/>
  <c r="BH18" i="1"/>
  <c r="BM18" i="1"/>
  <c r="BH19" i="1"/>
  <c r="BN19" i="1"/>
  <c r="BO19" i="1"/>
  <c r="BH20" i="1"/>
  <c r="BM20" i="1"/>
  <c r="BO20" i="1"/>
  <c r="BH21" i="1"/>
  <c r="BM21" i="1"/>
  <c r="BN21" i="1"/>
  <c r="BI22" i="1"/>
  <c r="BP22" i="1" s="1" a="1"/>
  <c r="BP22" i="1" s="1"/>
  <c r="BH22" i="1"/>
  <c r="BM22" i="1"/>
  <c r="BN22" i="1"/>
  <c r="BO22" i="1"/>
  <c r="BI23" i="1"/>
  <c r="BP23" i="1" s="1" a="1"/>
  <c r="BP23" i="1" s="1"/>
  <c r="BH23" i="1"/>
  <c r="BM23" i="1"/>
  <c r="BN23" i="1"/>
  <c r="BO23" i="1"/>
  <c r="BI24" i="1"/>
  <c r="BP24" i="1" s="1" a="1"/>
  <c r="BP24" i="1" s="1"/>
  <c r="BH24" i="1"/>
  <c r="BM24" i="1"/>
  <c r="BN24" i="1"/>
  <c r="BO24" i="1"/>
  <c r="BI25" i="1"/>
  <c r="BP25" i="1" s="1" a="1"/>
  <c r="BP25" i="1" s="1"/>
  <c r="BH25" i="1"/>
  <c r="BM25" i="1"/>
  <c r="BN25" i="1"/>
  <c r="BO25" i="1"/>
  <c r="BI26" i="1"/>
  <c r="BP26" i="1" s="1" a="1"/>
  <c r="BP26" i="1" s="1"/>
  <c r="BH26" i="1"/>
  <c r="BM26" i="1"/>
  <c r="BN26" i="1"/>
  <c r="BO26" i="1"/>
  <c r="BI27" i="1"/>
  <c r="BP27" i="1" s="1" a="1"/>
  <c r="BP27" i="1" s="1"/>
  <c r="BH27" i="1"/>
  <c r="BM27" i="1"/>
  <c r="BN27" i="1"/>
  <c r="BO27" i="1"/>
  <c r="BI28" i="1"/>
  <c r="BP28" i="1" s="1" a="1"/>
  <c r="BP28" i="1" s="1"/>
  <c r="BH28" i="1"/>
  <c r="BM28" i="1"/>
  <c r="BN28" i="1"/>
  <c r="BO28" i="1"/>
  <c r="BI29" i="1"/>
  <c r="BP29" i="1" s="1" a="1"/>
  <c r="BP29" i="1" s="1"/>
  <c r="BH29" i="1"/>
  <c r="BM29" i="1"/>
  <c r="BN29" i="1"/>
  <c r="BO29" i="1"/>
  <c r="BI30" i="1"/>
  <c r="BP30" i="1" s="1" a="1"/>
  <c r="BP30" i="1" s="1"/>
  <c r="BH30" i="1"/>
  <c r="BM30" i="1"/>
  <c r="BN30" i="1"/>
  <c r="BO30" i="1"/>
  <c r="BI31" i="1"/>
  <c r="BP31" i="1" s="1" a="1"/>
  <c r="BP31" i="1" s="1"/>
  <c r="BH31" i="1"/>
  <c r="BM31" i="1"/>
  <c r="BN31" i="1"/>
  <c r="BO31" i="1"/>
  <c r="BI32" i="1"/>
  <c r="BP32" i="1" s="1" a="1"/>
  <c r="BP32" i="1" s="1"/>
  <c r="BH32" i="1"/>
  <c r="BM32" i="1"/>
  <c r="BN32" i="1"/>
  <c r="BO32" i="1"/>
  <c r="BI33" i="1"/>
  <c r="BP33" i="1" s="1" a="1"/>
  <c r="BP33" i="1" s="1"/>
  <c r="BH33" i="1"/>
  <c r="BM33" i="1"/>
  <c r="BN33" i="1"/>
  <c r="BO33" i="1"/>
  <c r="BI34" i="1"/>
  <c r="BP34" i="1" s="1" a="1"/>
  <c r="BP34" i="1" s="1"/>
  <c r="BH34" i="1"/>
  <c r="BM34" i="1"/>
  <c r="BN34" i="1"/>
  <c r="BO34" i="1"/>
  <c r="BI35" i="1"/>
  <c r="BP35" i="1" s="1" a="1"/>
  <c r="BP35" i="1" s="1"/>
  <c r="BH35" i="1"/>
  <c r="BM35" i="1"/>
  <c r="BN35" i="1"/>
  <c r="BO35" i="1"/>
  <c r="BI36" i="1"/>
  <c r="BP36" i="1" s="1" a="1"/>
  <c r="BP36" i="1" s="1"/>
  <c r="BH36" i="1"/>
  <c r="BM36" i="1"/>
  <c r="BN36" i="1"/>
  <c r="BO36" i="1"/>
  <c r="BI37" i="1"/>
  <c r="BP37" i="1" s="1" a="1"/>
  <c r="BP37" i="1" s="1"/>
  <c r="BH37" i="1"/>
  <c r="BM37" i="1"/>
  <c r="BN37" i="1"/>
  <c r="BO37" i="1"/>
  <c r="BI38" i="1"/>
  <c r="BP38" i="1" s="1" a="1"/>
  <c r="BP38" i="1" s="1"/>
  <c r="BH38" i="1"/>
  <c r="BM38" i="1"/>
  <c r="BN38" i="1"/>
  <c r="BO38" i="1"/>
  <c r="BI39" i="1"/>
  <c r="BP39" i="1" s="1" a="1"/>
  <c r="BP39" i="1" s="1"/>
  <c r="BH39" i="1"/>
  <c r="BM39" i="1"/>
  <c r="BN39" i="1"/>
  <c r="BO39" i="1"/>
  <c r="BI40" i="1"/>
  <c r="BP40" i="1" s="1" a="1"/>
  <c r="BP40" i="1" s="1"/>
  <c r="BH40" i="1"/>
  <c r="BM40" i="1"/>
  <c r="BN40" i="1"/>
  <c r="BO40" i="1"/>
  <c r="BI41" i="1"/>
  <c r="BP41" i="1" s="1" a="1"/>
  <c r="BP41" i="1" s="1"/>
  <c r="BH41" i="1"/>
  <c r="BM41" i="1"/>
  <c r="BN41" i="1"/>
  <c r="BO41" i="1"/>
  <c r="BI42" i="1"/>
  <c r="BP42" i="1" s="1" a="1"/>
  <c r="BP42" i="1" s="1"/>
  <c r="BH42" i="1"/>
  <c r="BM42" i="1"/>
  <c r="BN42" i="1"/>
  <c r="BO42" i="1"/>
  <c r="BI43" i="1"/>
  <c r="BP43" i="1" s="1" a="1"/>
  <c r="BP43" i="1" s="1"/>
  <c r="BH43" i="1"/>
  <c r="BM43" i="1"/>
  <c r="BN43" i="1"/>
  <c r="BO43" i="1"/>
  <c r="BI44" i="1"/>
  <c r="BP44" i="1" s="1" a="1"/>
  <c r="BP44" i="1" s="1"/>
  <c r="BH44" i="1"/>
  <c r="BM44" i="1"/>
  <c r="BN44" i="1"/>
  <c r="BO44" i="1"/>
  <c r="BI45" i="1"/>
  <c r="BP45" i="1" s="1" a="1"/>
  <c r="BP45" i="1" s="1"/>
  <c r="BH45" i="1"/>
  <c r="BM45" i="1"/>
  <c r="BN45" i="1"/>
  <c r="BO45" i="1"/>
  <c r="BI46" i="1"/>
  <c r="BP46" i="1" s="1" a="1"/>
  <c r="BP46" i="1" s="1"/>
  <c r="BH46" i="1"/>
  <c r="BM46" i="1"/>
  <c r="BN46" i="1"/>
  <c r="BO46" i="1"/>
  <c r="BI47" i="1"/>
  <c r="BP47" i="1" s="1" a="1"/>
  <c r="BP47" i="1" s="1"/>
  <c r="BH47" i="1"/>
  <c r="BM47" i="1"/>
  <c r="BN47" i="1"/>
  <c r="BO47" i="1"/>
  <c r="BI48" i="1"/>
  <c r="BP48" i="1" s="1" a="1"/>
  <c r="BP48" i="1" s="1"/>
  <c r="BH48" i="1"/>
  <c r="BM48" i="1"/>
  <c r="BN48" i="1"/>
  <c r="BO48" i="1"/>
  <c r="BI49" i="1"/>
  <c r="BP49" i="1" s="1" a="1"/>
  <c r="BP49" i="1" s="1"/>
  <c r="BH49" i="1"/>
  <c r="BM49" i="1"/>
  <c r="BN49" i="1"/>
  <c r="BO49" i="1"/>
  <c r="BI50" i="1"/>
  <c r="BP50" i="1" s="1" a="1"/>
  <c r="BP50" i="1" s="1"/>
  <c r="BH50" i="1"/>
  <c r="BM50" i="1"/>
  <c r="BN50" i="1"/>
  <c r="BO50" i="1"/>
  <c r="BI51" i="1"/>
  <c r="BP51" i="1" s="1" a="1"/>
  <c r="BP51" i="1" s="1"/>
  <c r="BH51" i="1"/>
  <c r="BM51" i="1"/>
  <c r="BN51" i="1"/>
  <c r="BO51" i="1"/>
  <c r="BI52" i="1"/>
  <c r="BP52" i="1" s="1" a="1"/>
  <c r="BP52" i="1" s="1"/>
  <c r="BH52" i="1"/>
  <c r="BM52" i="1"/>
  <c r="BN52" i="1"/>
  <c r="BO52" i="1"/>
  <c r="BI53" i="1"/>
  <c r="BP53" i="1" s="1" a="1"/>
  <c r="BP53" i="1" s="1"/>
  <c r="BH53" i="1"/>
  <c r="BM53" i="1"/>
  <c r="BN53" i="1"/>
  <c r="BO53" i="1"/>
  <c r="BI54" i="1"/>
  <c r="BP54" i="1" s="1" a="1"/>
  <c r="BP54" i="1" s="1"/>
  <c r="BH54" i="1"/>
  <c r="BM54" i="1"/>
  <c r="BN54" i="1"/>
  <c r="BO54" i="1"/>
  <c r="BI55" i="1"/>
  <c r="BP55" i="1" s="1" a="1"/>
  <c r="BP55" i="1" s="1"/>
  <c r="BH55" i="1"/>
  <c r="BM55" i="1"/>
  <c r="BN55" i="1"/>
  <c r="BO55" i="1"/>
  <c r="BI56" i="1"/>
  <c r="BP56" i="1" s="1" a="1"/>
  <c r="BP56" i="1" s="1"/>
  <c r="BH56" i="1"/>
  <c r="BM56" i="1"/>
  <c r="BN56" i="1"/>
  <c r="BO56" i="1"/>
  <c r="BI57" i="1"/>
  <c r="BP57" i="1" s="1" a="1"/>
  <c r="BP57" i="1" s="1"/>
  <c r="BH57" i="1"/>
  <c r="BM57" i="1"/>
  <c r="BN57" i="1"/>
  <c r="BO57" i="1"/>
  <c r="BI58" i="1"/>
  <c r="BP58" i="1" s="1" a="1"/>
  <c r="BP58" i="1" s="1"/>
  <c r="BH58" i="1"/>
  <c r="BM58" i="1"/>
  <c r="BN58" i="1"/>
  <c r="BO58" i="1"/>
  <c r="BI59" i="1"/>
  <c r="BP59" i="1" s="1" a="1"/>
  <c r="BP59" i="1" s="1"/>
  <c r="BH59" i="1"/>
  <c r="BM59" i="1"/>
  <c r="BN59" i="1"/>
  <c r="BO59" i="1"/>
  <c r="BI60" i="1"/>
  <c r="BP60" i="1" s="1" a="1"/>
  <c r="BP60" i="1" s="1"/>
  <c r="BH60" i="1"/>
  <c r="BM60" i="1"/>
  <c r="BN60" i="1"/>
  <c r="BO60" i="1"/>
  <c r="BI61" i="1"/>
  <c r="BP61" i="1" s="1" a="1"/>
  <c r="BP61" i="1" s="1"/>
  <c r="BH61" i="1"/>
  <c r="BM61" i="1"/>
  <c r="BN61" i="1"/>
  <c r="BO61" i="1"/>
  <c r="BI62" i="1"/>
  <c r="BP62" i="1" s="1" a="1"/>
  <c r="BP62" i="1" s="1"/>
  <c r="BH62" i="1"/>
  <c r="BM62" i="1"/>
  <c r="BN62" i="1"/>
  <c r="BO62" i="1"/>
  <c r="BI63" i="1"/>
  <c r="BP63" i="1" s="1" a="1"/>
  <c r="BP63" i="1" s="1"/>
  <c r="BH63" i="1"/>
  <c r="BM63" i="1"/>
  <c r="BN63" i="1"/>
  <c r="BO63" i="1"/>
  <c r="BI64" i="1"/>
  <c r="BP64" i="1" s="1" a="1"/>
  <c r="BP64" i="1" s="1"/>
  <c r="BH64" i="1"/>
  <c r="BM64" i="1"/>
  <c r="BN64" i="1"/>
  <c r="BO64" i="1"/>
  <c r="BI65" i="1"/>
  <c r="BP65" i="1" s="1" a="1"/>
  <c r="BP65" i="1" s="1"/>
  <c r="BH65" i="1"/>
  <c r="BM65" i="1"/>
  <c r="BN65" i="1"/>
  <c r="BO65" i="1"/>
  <c r="BI66" i="1"/>
  <c r="BP66" i="1" s="1" a="1"/>
  <c r="BP66" i="1" s="1"/>
  <c r="BH66" i="1"/>
  <c r="BM66" i="1"/>
  <c r="BN66" i="1"/>
  <c r="BO66" i="1"/>
  <c r="BI67" i="1"/>
  <c r="BP67" i="1" s="1" a="1"/>
  <c r="BP67" i="1" s="1"/>
  <c r="BH67" i="1"/>
  <c r="BM67" i="1"/>
  <c r="BN67" i="1"/>
  <c r="BO67" i="1"/>
  <c r="BI68" i="1"/>
  <c r="BP68" i="1" s="1" a="1"/>
  <c r="BP68" i="1" s="1"/>
  <c r="BH68" i="1"/>
  <c r="BM68" i="1"/>
  <c r="BN68" i="1"/>
  <c r="BO68" i="1"/>
  <c r="BI69" i="1"/>
  <c r="BP69" i="1" s="1" a="1"/>
  <c r="BP69" i="1" s="1"/>
  <c r="BH69" i="1"/>
  <c r="BM69" i="1"/>
  <c r="BN69" i="1"/>
  <c r="BO69" i="1"/>
  <c r="BI70" i="1"/>
  <c r="BP70" i="1" s="1" a="1"/>
  <c r="BP70" i="1" s="1"/>
  <c r="BH70" i="1"/>
  <c r="BM70" i="1"/>
  <c r="BN70" i="1"/>
  <c r="BO70" i="1"/>
  <c r="BI71" i="1"/>
  <c r="BP71" i="1" s="1" a="1"/>
  <c r="BP71" i="1" s="1"/>
  <c r="BH71" i="1"/>
  <c r="BM71" i="1"/>
  <c r="BN71" i="1"/>
  <c r="BO71" i="1"/>
  <c r="BI72" i="1"/>
  <c r="BP72" i="1" s="1" a="1"/>
  <c r="BP72" i="1" s="1"/>
  <c r="BH72" i="1"/>
  <c r="BM72" i="1"/>
  <c r="BN72" i="1"/>
  <c r="BO72" i="1"/>
  <c r="BI73" i="1"/>
  <c r="BP73" i="1" s="1" a="1"/>
  <c r="BP73" i="1" s="1"/>
  <c r="BH73" i="1"/>
  <c r="BM73" i="1"/>
  <c r="BN73" i="1"/>
  <c r="BO73" i="1"/>
  <c r="BI74" i="1"/>
  <c r="BP74" i="1" s="1" a="1"/>
  <c r="BP74" i="1" s="1"/>
  <c r="BH74" i="1"/>
  <c r="BM74" i="1"/>
  <c r="BN74" i="1"/>
  <c r="BO74" i="1"/>
  <c r="BI75" i="1"/>
  <c r="BP75" i="1" s="1" a="1"/>
  <c r="BP75" i="1" s="1"/>
  <c r="BH75" i="1"/>
  <c r="BM75" i="1"/>
  <c r="BN75" i="1"/>
  <c r="BO75" i="1"/>
  <c r="BI76" i="1"/>
  <c r="BP76" i="1" s="1" a="1"/>
  <c r="BP76" i="1" s="1"/>
  <c r="BH76" i="1"/>
  <c r="BM76" i="1"/>
  <c r="BN76" i="1"/>
  <c r="BO76" i="1"/>
  <c r="BI77" i="1"/>
  <c r="BP77" i="1" s="1" a="1"/>
  <c r="BP77" i="1" s="1"/>
  <c r="BH77" i="1"/>
  <c r="BM77" i="1"/>
  <c r="BN77" i="1"/>
  <c r="BO77" i="1"/>
  <c r="BI78" i="1"/>
  <c r="BP78" i="1" s="1" a="1"/>
  <c r="BP78" i="1" s="1"/>
  <c r="BH78" i="1"/>
  <c r="BM78" i="1"/>
  <c r="BN78" i="1"/>
  <c r="BO78" i="1"/>
  <c r="BI79" i="1"/>
  <c r="BP79" i="1" s="1" a="1"/>
  <c r="BP79" i="1" s="1"/>
  <c r="BH79" i="1"/>
  <c r="BM79" i="1"/>
  <c r="BN79" i="1"/>
  <c r="BO79" i="1"/>
  <c r="BI80" i="1"/>
  <c r="BP80" i="1" s="1" a="1"/>
  <c r="BP80" i="1" s="1"/>
  <c r="BH80" i="1"/>
  <c r="BM80" i="1"/>
  <c r="BN80" i="1"/>
  <c r="BO80" i="1"/>
  <c r="BI81" i="1"/>
  <c r="BP81" i="1" s="1" a="1"/>
  <c r="BP81" i="1" s="1"/>
  <c r="BH81" i="1"/>
  <c r="BM81" i="1"/>
  <c r="BN81" i="1"/>
  <c r="BO81" i="1"/>
  <c r="BI82" i="1"/>
  <c r="BP82" i="1" s="1" a="1"/>
  <c r="BP82" i="1" s="1"/>
  <c r="BH82" i="1"/>
  <c r="BM82" i="1"/>
  <c r="BN82" i="1"/>
  <c r="BO82" i="1"/>
  <c r="BI83" i="1"/>
  <c r="BP83" i="1" s="1" a="1"/>
  <c r="BP83" i="1" s="1"/>
  <c r="BH83" i="1"/>
  <c r="BM83" i="1"/>
  <c r="BN83" i="1"/>
  <c r="BO83" i="1"/>
  <c r="BI84" i="1"/>
  <c r="BP84" i="1" s="1" a="1"/>
  <c r="BP84" i="1" s="1"/>
  <c r="BH84" i="1"/>
  <c r="BM84" i="1"/>
  <c r="BN84" i="1"/>
  <c r="BO84" i="1"/>
  <c r="BI85" i="1"/>
  <c r="BP85" i="1" s="1" a="1"/>
  <c r="BP85" i="1" s="1"/>
  <c r="BH85" i="1"/>
  <c r="BM85" i="1"/>
  <c r="BN85" i="1"/>
  <c r="BO85" i="1"/>
  <c r="BI86" i="1"/>
  <c r="BP86" i="1" s="1" a="1"/>
  <c r="BP86" i="1" s="1"/>
  <c r="BH86" i="1"/>
  <c r="BM86" i="1"/>
  <c r="BN86" i="1"/>
  <c r="BO86" i="1"/>
  <c r="BI87" i="1"/>
  <c r="BP87" i="1" s="1" a="1"/>
  <c r="BP87" i="1" s="1"/>
  <c r="BH87" i="1"/>
  <c r="BM87" i="1"/>
  <c r="BN87" i="1"/>
  <c r="BO87" i="1"/>
  <c r="BI88" i="1"/>
  <c r="BP88" i="1" s="1" a="1"/>
  <c r="BP88" i="1" s="1"/>
  <c r="BH88" i="1"/>
  <c r="BM88" i="1"/>
  <c r="BN88" i="1"/>
  <c r="BO88" i="1"/>
  <c r="BI89" i="1"/>
  <c r="BP89" i="1" s="1" a="1"/>
  <c r="BP89" i="1" s="1"/>
  <c r="BH89" i="1"/>
  <c r="BM89" i="1"/>
  <c r="BN89" i="1"/>
  <c r="BO89" i="1"/>
  <c r="BI90" i="1"/>
  <c r="BP90" i="1" s="1" a="1"/>
  <c r="BP90" i="1" s="1"/>
  <c r="BH90" i="1"/>
  <c r="BM90" i="1"/>
  <c r="BN90" i="1"/>
  <c r="BO90" i="1"/>
  <c r="BI91" i="1"/>
  <c r="BP91" i="1" s="1" a="1"/>
  <c r="BP91" i="1" s="1"/>
  <c r="BH91" i="1"/>
  <c r="BM91" i="1"/>
  <c r="BN91" i="1"/>
  <c r="BO91" i="1"/>
  <c r="BI92" i="1"/>
  <c r="BP92" i="1" s="1" a="1"/>
  <c r="BP92" i="1" s="1"/>
  <c r="BH92" i="1"/>
  <c r="BM92" i="1"/>
  <c r="BN92" i="1"/>
  <c r="BO92" i="1"/>
  <c r="BI93" i="1"/>
  <c r="BP93" i="1" s="1" a="1"/>
  <c r="BP93" i="1" s="1"/>
  <c r="BH93" i="1"/>
  <c r="BM93" i="1"/>
  <c r="BN93" i="1"/>
  <c r="BO93" i="1"/>
  <c r="BI94" i="1"/>
  <c r="BP94" i="1" s="1" a="1"/>
  <c r="BP94" i="1" s="1"/>
  <c r="BH94" i="1"/>
  <c r="BM94" i="1"/>
  <c r="BN94" i="1"/>
  <c r="BO94" i="1"/>
  <c r="BI95" i="1"/>
  <c r="BP95" i="1" s="1" a="1"/>
  <c r="BP95" i="1" s="1"/>
  <c r="BH95" i="1"/>
  <c r="BM95" i="1"/>
  <c r="BN95" i="1"/>
  <c r="BO95" i="1"/>
  <c r="BI96" i="1"/>
  <c r="BP96" i="1" s="1" a="1"/>
  <c r="BP96" i="1" s="1"/>
  <c r="BH96" i="1"/>
  <c r="BM96" i="1"/>
  <c r="BN96" i="1"/>
  <c r="BO96" i="1"/>
  <c r="BI97" i="1"/>
  <c r="BP97" i="1" s="1" a="1"/>
  <c r="BP97" i="1" s="1"/>
  <c r="BH97" i="1"/>
  <c r="BM97" i="1"/>
  <c r="BN97" i="1"/>
  <c r="BO97" i="1"/>
  <c r="BI98" i="1"/>
  <c r="BP98" i="1" s="1" a="1"/>
  <c r="BP98" i="1" s="1"/>
  <c r="BH98" i="1"/>
  <c r="BM98" i="1"/>
  <c r="BN98" i="1"/>
  <c r="BO98" i="1"/>
  <c r="BI99" i="1"/>
  <c r="BP99" i="1" s="1" a="1"/>
  <c r="BP99" i="1" s="1"/>
  <c r="BH99" i="1"/>
  <c r="BI100" i="1"/>
  <c r="BP100" i="1" s="1" a="1"/>
  <c r="BP100" i="1" s="1"/>
  <c r="BH100" i="1"/>
  <c r="BM100" i="1"/>
  <c r="BN100" i="1"/>
  <c r="BO100" i="1"/>
  <c r="BI101" i="1"/>
  <c r="BP101" i="1" s="1" a="1"/>
  <c r="BP101" i="1" s="1"/>
  <c r="BH101" i="1"/>
  <c r="BM101" i="1"/>
  <c r="BN101" i="1"/>
  <c r="BO101" i="1"/>
  <c r="BH102" i="1"/>
  <c r="BE102" i="1" s="1"/>
  <c r="BN102" i="1"/>
  <c r="BO102" i="1"/>
  <c r="BH103" i="1"/>
  <c r="BE103" i="1" s="1"/>
  <c r="BN103" i="1"/>
  <c r="BO103" i="1"/>
  <c r="BH104" i="1"/>
  <c r="BE104" i="1" s="1"/>
  <c r="BN104" i="1"/>
  <c r="BO104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B105" i="1"/>
  <c r="D3" i="8"/>
  <c r="B4" i="8" s="1"/>
  <c r="D4" i="8"/>
  <c r="B5" i="8" s="1"/>
  <c r="D5" i="8"/>
  <c r="B6" i="8" s="1"/>
  <c r="D6" i="8"/>
  <c r="B7" i="8" s="1"/>
  <c r="D7" i="8"/>
  <c r="B8" i="8" s="1"/>
  <c r="D8" i="8"/>
  <c r="B9" i="8" s="1"/>
  <c r="D9" i="8"/>
  <c r="B10" i="8" s="1"/>
  <c r="D10" i="8"/>
  <c r="B11" i="8" s="1"/>
  <c r="D11" i="8"/>
  <c r="B12" i="8" s="1"/>
  <c r="D12" i="8"/>
  <c r="B13" i="8" s="1"/>
  <c r="D13" i="8"/>
  <c r="B14" i="8" s="1"/>
  <c r="D14" i="8"/>
  <c r="B15" i="8" s="1"/>
  <c r="D15" i="8"/>
  <c r="B16" i="8" s="1"/>
  <c r="D16" i="8"/>
  <c r="B17" i="8" s="1"/>
  <c r="D17" i="8"/>
  <c r="B18" i="8" s="1"/>
  <c r="D18" i="8"/>
  <c r="B19" i="8" s="1"/>
  <c r="D19" i="8"/>
  <c r="B20" i="8" s="1"/>
  <c r="D20" i="8"/>
  <c r="B21" i="8" s="1"/>
  <c r="D21" i="8"/>
  <c r="B22" i="8" s="1"/>
  <c r="D22" i="8"/>
  <c r="B23" i="8" s="1"/>
  <c r="D23" i="8"/>
  <c r="B24" i="8" s="1"/>
  <c r="D24" i="8"/>
  <c r="B25" i="8" s="1"/>
  <c r="D25" i="8"/>
  <c r="B26" i="8" s="1"/>
  <c r="D26" i="8"/>
  <c r="B27" i="8" s="1"/>
  <c r="D27" i="8"/>
  <c r="B28" i="8" s="1"/>
  <c r="D28" i="8"/>
  <c r="B29" i="8" s="1"/>
  <c r="D29" i="8"/>
  <c r="B30" i="8" s="1"/>
  <c r="D30" i="8"/>
  <c r="D2" i="8"/>
  <c r="B3" i="8" s="1"/>
  <c r="AQ12" i="1" l="1"/>
  <c r="BI12" i="1"/>
  <c r="BP12" i="1" s="1" a="1"/>
  <c r="BP12" i="1" s="1"/>
  <c r="AQ7" i="1"/>
  <c r="AR7" i="1" s="1"/>
  <c r="AQ20" i="1"/>
  <c r="BI20" i="1"/>
  <c r="BP20" i="1" s="1" a="1"/>
  <c r="BP20" i="1" s="1"/>
  <c r="AQ16" i="1"/>
  <c r="BI16" i="1"/>
  <c r="BP16" i="1" s="1" a="1"/>
  <c r="BP16" i="1" s="1"/>
  <c r="AQ17" i="1"/>
  <c r="BI17" i="1"/>
  <c r="BP17" i="1" s="1" a="1"/>
  <c r="BP17" i="1" s="1"/>
  <c r="AQ13" i="1"/>
  <c r="BI13" i="1"/>
  <c r="BP13" i="1" s="1" a="1"/>
  <c r="BP13" i="1" s="1"/>
  <c r="AQ10" i="1"/>
  <c r="BI10" i="1"/>
  <c r="BP10" i="1" s="1" a="1"/>
  <c r="BP10" i="1" s="1"/>
  <c r="AQ8" i="1"/>
  <c r="AR8" i="1" s="1"/>
  <c r="AQ21" i="1"/>
  <c r="BI21" i="1"/>
  <c r="BP21" i="1" s="1" a="1"/>
  <c r="BP21" i="1" s="1"/>
  <c r="AQ19" i="1"/>
  <c r="BI19" i="1"/>
  <c r="BP19" i="1" s="1" a="1"/>
  <c r="BP19" i="1" s="1"/>
  <c r="AQ18" i="1"/>
  <c r="BI18" i="1"/>
  <c r="BP18" i="1" s="1" a="1"/>
  <c r="BP18" i="1" s="1"/>
  <c r="AQ14" i="1"/>
  <c r="BI14" i="1"/>
  <c r="BP14" i="1" s="1" a="1"/>
  <c r="BP14" i="1" s="1"/>
  <c r="AQ15" i="1"/>
  <c r="BI15" i="1"/>
  <c r="BP15" i="1" s="1" a="1"/>
  <c r="BP15" i="1" s="1"/>
  <c r="AQ11" i="1"/>
  <c r="BI11" i="1"/>
  <c r="BP11" i="1" s="1" a="1"/>
  <c r="BP11" i="1" s="1"/>
  <c r="AQ9" i="1"/>
  <c r="BI9" i="1"/>
  <c r="BP9" i="1" s="1" a="1"/>
  <c r="BP9" i="1" s="1"/>
  <c r="AQ6" i="1"/>
  <c r="AR6" i="1" s="1"/>
  <c r="AQ5" i="1"/>
  <c r="AR5" i="1" s="1"/>
  <c r="BF5" i="1" s="1"/>
  <c r="BG5" i="1" s="1"/>
  <c r="BI5" i="1" s="1"/>
  <c r="AP105" i="1"/>
  <c r="AQ94" i="1"/>
  <c r="AQ41" i="1"/>
  <c r="AQ72" i="1"/>
  <c r="AQ60" i="1"/>
  <c r="AQ24" i="1"/>
  <c r="AQ29" i="1"/>
  <c r="AQ84" i="1"/>
  <c r="AQ48" i="1"/>
  <c r="AQ36" i="1"/>
  <c r="AQ91" i="1"/>
  <c r="AQ79" i="1"/>
  <c r="AQ67" i="1"/>
  <c r="AQ55" i="1"/>
  <c r="AQ43" i="1"/>
  <c r="AQ31" i="1"/>
  <c r="AQ53" i="1"/>
  <c r="AQ50" i="1"/>
  <c r="AQ93" i="1"/>
  <c r="AQ81" i="1"/>
  <c r="AQ69" i="1"/>
  <c r="AQ57" i="1"/>
  <c r="AQ45" i="1"/>
  <c r="AQ33" i="1"/>
  <c r="AQ62" i="1"/>
  <c r="AQ88" i="1"/>
  <c r="AQ76" i="1"/>
  <c r="AQ64" i="1"/>
  <c r="AQ52" i="1"/>
  <c r="AQ40" i="1"/>
  <c r="AQ28" i="1"/>
  <c r="AQ104" i="1"/>
  <c r="AR104" i="1" s="1"/>
  <c r="AQ98" i="1"/>
  <c r="AQ26" i="1"/>
  <c r="AQ83" i="1"/>
  <c r="AQ71" i="1"/>
  <c r="AQ59" i="1"/>
  <c r="AQ47" i="1"/>
  <c r="AQ35" i="1"/>
  <c r="AQ23" i="1"/>
  <c r="AQ65" i="1"/>
  <c r="AQ86" i="1"/>
  <c r="AQ38" i="1"/>
  <c r="AQ90" i="1"/>
  <c r="AQ78" i="1"/>
  <c r="AQ66" i="1"/>
  <c r="AQ54" i="1"/>
  <c r="AQ42" i="1"/>
  <c r="AQ30" i="1"/>
  <c r="AQ89" i="1"/>
  <c r="AQ74" i="1"/>
  <c r="AQ100" i="1"/>
  <c r="AQ85" i="1"/>
  <c r="AQ73" i="1"/>
  <c r="AQ61" i="1"/>
  <c r="AQ49" i="1"/>
  <c r="AQ37" i="1"/>
  <c r="AQ25" i="1"/>
  <c r="AQ77" i="1"/>
  <c r="AQ96" i="1"/>
  <c r="AQ101" i="1"/>
  <c r="AQ103" i="1"/>
  <c r="AQ95" i="1"/>
  <c r="AQ97" i="1"/>
  <c r="AQ92" i="1"/>
  <c r="AQ80" i="1"/>
  <c r="AQ68" i="1"/>
  <c r="AQ56" i="1"/>
  <c r="AQ44" i="1"/>
  <c r="AQ32" i="1"/>
  <c r="AQ102" i="1"/>
  <c r="AR102" i="1" s="1"/>
  <c r="AQ99" i="1"/>
  <c r="AQ87" i="1"/>
  <c r="AQ75" i="1"/>
  <c r="AQ63" i="1"/>
  <c r="AQ51" i="1"/>
  <c r="AQ39" i="1"/>
  <c r="AQ27" i="1"/>
  <c r="AQ82" i="1"/>
  <c r="AQ70" i="1"/>
  <c r="AQ58" i="1"/>
  <c r="AQ46" i="1"/>
  <c r="AQ34" i="1"/>
  <c r="AQ22" i="1"/>
  <c r="AR92" i="1"/>
  <c r="AR80" i="1"/>
  <c r="AR68" i="1"/>
  <c r="AR56" i="1"/>
  <c r="AR44" i="1"/>
  <c r="AR32" i="1"/>
  <c r="BF94" i="1"/>
  <c r="BG94" i="1" s="1"/>
  <c r="BF82" i="1"/>
  <c r="BG82" i="1" s="1"/>
  <c r="BF70" i="1"/>
  <c r="BG70" i="1" s="1"/>
  <c r="BF58" i="1"/>
  <c r="BG58" i="1" s="1"/>
  <c r="BF46" i="1"/>
  <c r="BG46" i="1" s="1"/>
  <c r="BF34" i="1"/>
  <c r="BG34" i="1" s="1"/>
  <c r="BF22" i="1"/>
  <c r="BG22" i="1" s="1"/>
  <c r="AR13" i="1"/>
  <c r="BM13" i="1" s="1"/>
  <c r="AR74" i="1"/>
  <c r="AR62" i="1"/>
  <c r="AR26" i="1"/>
  <c r="AR100" i="1"/>
  <c r="AR88" i="1"/>
  <c r="AR76" i="1"/>
  <c r="AR64" i="1"/>
  <c r="AR52" i="1"/>
  <c r="AR40" i="1"/>
  <c r="AR28" i="1"/>
  <c r="BF66" i="1"/>
  <c r="BG66" i="1" s="1"/>
  <c r="BF54" i="1"/>
  <c r="BG54" i="1" s="1"/>
  <c r="AR47" i="1"/>
  <c r="BF61" i="1"/>
  <c r="BG61" i="1" s="1"/>
  <c r="BF71" i="1"/>
  <c r="BG71" i="1" s="1"/>
  <c r="BF49" i="1"/>
  <c r="BG49" i="1" s="1"/>
  <c r="BF101" i="1"/>
  <c r="BG101" i="1" s="1"/>
  <c r="AR35" i="1"/>
  <c r="BF74" i="1"/>
  <c r="BG74" i="1" s="1"/>
  <c r="AR53" i="1"/>
  <c r="BF96" i="1"/>
  <c r="BG96" i="1" s="1"/>
  <c r="BF38" i="1"/>
  <c r="BG38" i="1" s="1"/>
  <c r="BF55" i="1"/>
  <c r="BG55" i="1" s="1"/>
  <c r="AR71" i="1"/>
  <c r="BF35" i="1"/>
  <c r="BG35" i="1" s="1"/>
  <c r="BF86" i="1"/>
  <c r="BG86" i="1" s="1"/>
  <c r="BF84" i="1"/>
  <c r="BG84" i="1" s="1"/>
  <c r="AR86" i="1"/>
  <c r="BF59" i="1"/>
  <c r="BG59" i="1" s="1"/>
  <c r="AR96" i="1"/>
  <c r="BF40" i="1"/>
  <c r="BG40" i="1" s="1"/>
  <c r="BF23" i="1"/>
  <c r="BG23" i="1" s="1"/>
  <c r="BF62" i="1"/>
  <c r="BG62" i="1" s="1"/>
  <c r="BF50" i="1"/>
  <c r="BG50" i="1" s="1"/>
  <c r="AR38" i="1"/>
  <c r="AR89" i="1"/>
  <c r="AR14" i="1"/>
  <c r="AR50" i="1"/>
  <c r="BF72" i="1"/>
  <c r="BG72" i="1" s="1"/>
  <c r="BF31" i="1"/>
  <c r="BG31" i="1" s="1"/>
  <c r="BF77" i="1"/>
  <c r="BG77" i="1" s="1"/>
  <c r="BF47" i="1"/>
  <c r="BG47" i="1" s="1"/>
  <c r="AR59" i="1"/>
  <c r="BF28" i="1"/>
  <c r="BG28" i="1" s="1"/>
  <c r="BF90" i="1"/>
  <c r="BG90" i="1" s="1"/>
  <c r="AR77" i="1"/>
  <c r="AR72" i="1"/>
  <c r="AR65" i="1"/>
  <c r="AR60" i="1"/>
  <c r="AR41" i="1"/>
  <c r="AR36" i="1"/>
  <c r="BF29" i="1"/>
  <c r="BG29" i="1" s="1"/>
  <c r="BF95" i="1"/>
  <c r="BG95" i="1" s="1"/>
  <c r="BF85" i="1"/>
  <c r="BG85" i="1" s="1"/>
  <c r="AR29" i="1"/>
  <c r="AR24" i="1"/>
  <c r="AR90" i="1"/>
  <c r="BF78" i="1"/>
  <c r="BG78" i="1" s="1"/>
  <c r="AR54" i="1"/>
  <c r="BF42" i="1"/>
  <c r="BG42" i="1" s="1"/>
  <c r="AR95" i="1"/>
  <c r="BF83" i="1"/>
  <c r="BG83" i="1" s="1"/>
  <c r="BF30" i="1"/>
  <c r="BG30" i="1" s="1"/>
  <c r="BF98" i="1"/>
  <c r="BG98" i="1" s="1"/>
  <c r="BF91" i="1"/>
  <c r="BG91" i="1" s="1"/>
  <c r="AR78" i="1"/>
  <c r="BF73" i="1"/>
  <c r="BG73" i="1" s="1"/>
  <c r="AR66" i="1"/>
  <c r="AR42" i="1"/>
  <c r="AR18" i="1"/>
  <c r="AR98" i="1"/>
  <c r="AR83" i="1"/>
  <c r="BF52" i="1"/>
  <c r="BG52" i="1" s="1"/>
  <c r="AR30" i="1"/>
  <c r="AR11" i="1"/>
  <c r="BF79" i="1"/>
  <c r="BG79" i="1" s="1"/>
  <c r="BF43" i="1"/>
  <c r="BG43" i="1" s="1"/>
  <c r="AR16" i="1"/>
  <c r="AR101" i="1"/>
  <c r="BF89" i="1"/>
  <c r="BG89" i="1" s="1"/>
  <c r="AR84" i="1"/>
  <c r="BF67" i="1"/>
  <c r="BG67" i="1" s="1"/>
  <c r="BF53" i="1"/>
  <c r="BG53" i="1" s="1"/>
  <c r="BF48" i="1"/>
  <c r="BG48" i="1" s="1"/>
  <c r="BF26" i="1"/>
  <c r="BG26" i="1" s="1"/>
  <c r="AR23" i="1"/>
  <c r="AR21" i="1"/>
  <c r="AR12" i="1"/>
  <c r="BF60" i="1"/>
  <c r="BG60" i="1" s="1"/>
  <c r="BF36" i="1"/>
  <c r="BG36" i="1" s="1"/>
  <c r="BF65" i="1"/>
  <c r="BG65" i="1" s="1"/>
  <c r="AR48" i="1"/>
  <c r="BF41" i="1"/>
  <c r="BG41" i="1" s="1"/>
  <c r="BF24" i="1"/>
  <c r="BG24" i="1" s="1"/>
  <c r="AR17" i="1"/>
  <c r="BF17" i="1" s="1"/>
  <c r="AR93" i="1"/>
  <c r="AR81" i="1"/>
  <c r="AR69" i="1"/>
  <c r="AR57" i="1"/>
  <c r="AR45" i="1"/>
  <c r="AR33" i="1"/>
  <c r="AR20" i="1"/>
  <c r="AR94" i="1"/>
  <c r="AR82" i="1"/>
  <c r="AR70" i="1"/>
  <c r="AR58" i="1"/>
  <c r="AR46" i="1"/>
  <c r="AR34" i="1"/>
  <c r="AR22" i="1"/>
  <c r="AR9" i="1"/>
  <c r="BF97" i="1"/>
  <c r="BG97" i="1" s="1"/>
  <c r="BF37" i="1"/>
  <c r="BG37" i="1" s="1"/>
  <c r="BF25" i="1"/>
  <c r="BG25" i="1" s="1"/>
  <c r="AR10" i="1"/>
  <c r="BF99" i="1"/>
  <c r="BG99" i="1" s="1"/>
  <c r="AR97" i="1"/>
  <c r="BF87" i="1"/>
  <c r="BG87" i="1" s="1"/>
  <c r="AR85" i="1"/>
  <c r="BF75" i="1"/>
  <c r="BG75" i="1" s="1"/>
  <c r="AR73" i="1"/>
  <c r="BF63" i="1"/>
  <c r="BG63" i="1" s="1"/>
  <c r="AR61" i="1"/>
  <c r="BF51" i="1"/>
  <c r="BG51" i="1" s="1"/>
  <c r="AR49" i="1"/>
  <c r="BF39" i="1"/>
  <c r="BG39" i="1" s="1"/>
  <c r="AR37" i="1"/>
  <c r="BF27" i="1"/>
  <c r="BG27" i="1" s="1"/>
  <c r="AR25" i="1"/>
  <c r="BF100" i="1"/>
  <c r="BG100" i="1" s="1"/>
  <c r="BF88" i="1"/>
  <c r="BG88" i="1" s="1"/>
  <c r="BF76" i="1"/>
  <c r="BG76" i="1" s="1"/>
  <c r="BF64" i="1"/>
  <c r="BG64" i="1" s="1"/>
  <c r="AR87" i="1"/>
  <c r="AR75" i="1"/>
  <c r="AR63" i="1"/>
  <c r="AR51" i="1"/>
  <c r="AR39" i="1"/>
  <c r="AR27" i="1"/>
  <c r="AR15" i="1"/>
  <c r="BF15" i="1" s="1"/>
  <c r="AR99" i="1"/>
  <c r="BF92" i="1"/>
  <c r="BG92" i="1" s="1"/>
  <c r="BF80" i="1"/>
  <c r="BG80" i="1" s="1"/>
  <c r="BF68" i="1"/>
  <c r="BG68" i="1" s="1"/>
  <c r="BF56" i="1"/>
  <c r="BG56" i="1" s="1"/>
  <c r="BF44" i="1"/>
  <c r="BG44" i="1" s="1"/>
  <c r="BF32" i="1"/>
  <c r="BG32" i="1" s="1"/>
  <c r="AR103" i="1"/>
  <c r="BM103" i="1" s="1"/>
  <c r="BF93" i="1"/>
  <c r="BG93" i="1" s="1"/>
  <c r="AR91" i="1"/>
  <c r="BF81" i="1"/>
  <c r="BG81" i="1" s="1"/>
  <c r="AR79" i="1"/>
  <c r="BF69" i="1"/>
  <c r="BG69" i="1" s="1"/>
  <c r="AR67" i="1"/>
  <c r="BF57" i="1"/>
  <c r="BG57" i="1" s="1"/>
  <c r="AR55" i="1"/>
  <c r="BF45" i="1"/>
  <c r="BG45" i="1" s="1"/>
  <c r="AR43" i="1"/>
  <c r="BF33" i="1"/>
  <c r="BG33" i="1" s="1"/>
  <c r="AR31" i="1"/>
  <c r="AR19" i="1"/>
  <c r="BM19" i="1" s="1"/>
  <c r="BG17" i="1" l="1"/>
  <c r="BG15" i="1"/>
  <c r="BF103" i="1"/>
  <c r="BO6" i="1"/>
  <c r="BM6" i="1"/>
  <c r="BF102" i="1"/>
  <c r="BM102" i="1"/>
  <c r="BM104" i="1"/>
  <c r="BF104" i="1"/>
  <c r="AR105" i="1"/>
  <c r="BP107" i="1" s="1"/>
  <c r="BO21" i="1"/>
  <c r="BF21" i="1"/>
  <c r="BN20" i="1"/>
  <c r="BF20" i="1"/>
  <c r="BM16" i="1"/>
  <c r="BO16" i="1"/>
  <c r="BF16" i="1"/>
  <c r="BN18" i="1"/>
  <c r="BO18" i="1"/>
  <c r="BF18" i="1"/>
  <c r="BF19" i="1"/>
  <c r="BM10" i="1"/>
  <c r="BO10" i="1"/>
  <c r="BM17" i="1"/>
  <c r="BN17" i="1"/>
  <c r="BM8" i="1"/>
  <c r="BN8" i="1"/>
  <c r="BM14" i="1"/>
  <c r="BN14" i="1"/>
  <c r="BN15" i="1"/>
  <c r="BO15" i="1"/>
  <c r="BF14" i="1"/>
  <c r="BN9" i="1"/>
  <c r="BO9" i="1"/>
  <c r="BF10" i="1"/>
  <c r="BN10" i="1"/>
  <c r="BF11" i="1"/>
  <c r="BM11" i="1"/>
  <c r="BN11" i="1"/>
  <c r="BF6" i="1"/>
  <c r="BG6" i="1" s="1"/>
  <c r="BN6" i="1"/>
  <c r="BF7" i="1"/>
  <c r="BG7" i="1" s="1"/>
  <c r="BM7" i="1"/>
  <c r="BO7" i="1"/>
  <c r="BF12" i="1"/>
  <c r="BN12" i="1"/>
  <c r="BO12" i="1"/>
  <c r="BF9" i="1"/>
  <c r="BM9" i="1"/>
  <c r="BF13" i="1"/>
  <c r="BO13" i="1"/>
  <c r="BF8" i="1"/>
  <c r="BG8" i="1" s="1"/>
  <c r="BO8" i="1"/>
  <c r="BM99" i="1"/>
  <c r="BN99" i="1"/>
  <c r="BO99" i="1"/>
  <c r="J5" i="7"/>
  <c r="K5" i="7"/>
  <c r="J6" i="7"/>
  <c r="K6" i="7"/>
  <c r="J7" i="7"/>
  <c r="K7" i="7"/>
  <c r="J8" i="7"/>
  <c r="K8" i="7"/>
  <c r="J9" i="7"/>
  <c r="K9" i="7"/>
  <c r="J10" i="7"/>
  <c r="K10" i="7"/>
  <c r="J11" i="7"/>
  <c r="K11" i="7"/>
  <c r="J12" i="7"/>
  <c r="K12" i="7"/>
  <c r="J13" i="7"/>
  <c r="K13" i="7"/>
  <c r="J14" i="7"/>
  <c r="K14" i="7"/>
  <c r="J15" i="7"/>
  <c r="K15" i="7"/>
  <c r="J16" i="7"/>
  <c r="K16" i="7"/>
  <c r="J17" i="7"/>
  <c r="K17" i="7"/>
  <c r="J18" i="7"/>
  <c r="K18" i="7"/>
  <c r="J19" i="7"/>
  <c r="K19" i="7"/>
  <c r="J20" i="7"/>
  <c r="K20" i="7"/>
  <c r="J21" i="7"/>
  <c r="K21" i="7"/>
  <c r="K4" i="7"/>
  <c r="J4" i="7"/>
  <c r="H5" i="7"/>
  <c r="I5" i="7"/>
  <c r="H6" i="7"/>
  <c r="I6" i="7"/>
  <c r="H7" i="7"/>
  <c r="I7" i="7"/>
  <c r="H8" i="7"/>
  <c r="I8" i="7"/>
  <c r="H9" i="7"/>
  <c r="I9" i="7"/>
  <c r="H10" i="7"/>
  <c r="I10" i="7"/>
  <c r="H11" i="7"/>
  <c r="I11" i="7"/>
  <c r="H12" i="7"/>
  <c r="I12" i="7"/>
  <c r="H13" i="7"/>
  <c r="I13" i="7"/>
  <c r="H14" i="7"/>
  <c r="I14" i="7"/>
  <c r="H15" i="7"/>
  <c r="I15" i="7"/>
  <c r="H16" i="7"/>
  <c r="I16" i="7"/>
  <c r="H17" i="7"/>
  <c r="I17" i="7"/>
  <c r="H18" i="7"/>
  <c r="I18" i="7"/>
  <c r="H19" i="7"/>
  <c r="I19" i="7"/>
  <c r="H20" i="7"/>
  <c r="I20" i="7"/>
  <c r="H21" i="7"/>
  <c r="I21" i="7"/>
  <c r="I4" i="7"/>
  <c r="H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G4" i="7"/>
  <c r="F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4" i="7"/>
  <c r="BG18" i="1" l="1"/>
  <c r="BI103" i="1"/>
  <c r="BP103" i="1" s="1" a="1"/>
  <c r="BP103" i="1" s="1"/>
  <c r="BG103" i="1"/>
  <c r="BI102" i="1"/>
  <c r="BP102" i="1" s="1" a="1"/>
  <c r="BP102" i="1" s="1"/>
  <c r="BG102" i="1"/>
  <c r="BG10" i="1"/>
  <c r="BG13" i="1"/>
  <c r="BI104" i="1"/>
  <c r="BG104" i="1"/>
  <c r="BG16" i="1"/>
  <c r="BG9" i="1"/>
  <c r="BG20" i="1"/>
  <c r="BG21" i="1"/>
  <c r="BG14" i="1"/>
  <c r="BG12" i="1"/>
  <c r="BG11" i="1"/>
  <c r="BG19" i="1"/>
  <c r="BI8" i="1"/>
  <c r="BP8" i="1" s="1" a="1"/>
  <c r="BP8" i="1" s="1"/>
  <c r="BI7" i="1"/>
  <c r="BP7" i="1" s="1" a="1"/>
  <c r="BP7" i="1" s="1"/>
  <c r="BI6" i="1"/>
  <c r="BP6" i="1" s="1" a="1"/>
  <c r="BP6" i="1" s="1"/>
  <c r="AQ105" i="1"/>
  <c r="BH105" i="1"/>
  <c r="BP104" i="1" l="1" a="1"/>
  <c r="BP104" i="1" s="1"/>
  <c r="BE105" i="1"/>
  <c r="BF105" i="1" s="1"/>
  <c r="BS104" i="1" l="1"/>
  <c r="BS83" i="1"/>
  <c r="BS35" i="1"/>
  <c r="BS38" i="1"/>
  <c r="BS54" i="1"/>
  <c r="BS74" i="1"/>
  <c r="BS61" i="1"/>
  <c r="BS77" i="1"/>
  <c r="BS99" i="1"/>
  <c r="BS51" i="1"/>
  <c r="BS70" i="1"/>
  <c r="BS22" i="1"/>
  <c r="BS53" i="1"/>
  <c r="BS62" i="1"/>
  <c r="BS41" i="1"/>
  <c r="BS29" i="1"/>
  <c r="BS91" i="1"/>
  <c r="BS43" i="1"/>
  <c r="BS93" i="1"/>
  <c r="BS45" i="1"/>
  <c r="BS76" i="1"/>
  <c r="BS28" i="1"/>
  <c r="BS97" i="1"/>
  <c r="BS56" i="1"/>
  <c r="BS69" i="1"/>
  <c r="BS32" i="1"/>
  <c r="BS71" i="1"/>
  <c r="BS23" i="1"/>
  <c r="BS90" i="1"/>
  <c r="BS42" i="1"/>
  <c r="BS100" i="1"/>
  <c r="BS49" i="1"/>
  <c r="BS96" i="1"/>
  <c r="BS87" i="1"/>
  <c r="BS39" i="1"/>
  <c r="BS58" i="1"/>
  <c r="BS60" i="1"/>
  <c r="BS52" i="1"/>
  <c r="BS80" i="1"/>
  <c r="BS72" i="1"/>
  <c r="BS84" i="1"/>
  <c r="BS79" i="1"/>
  <c r="BS31" i="1"/>
  <c r="BS81" i="1"/>
  <c r="BS33" i="1"/>
  <c r="BS64" i="1"/>
  <c r="BS92" i="1"/>
  <c r="BS44" i="1"/>
  <c r="BS98" i="1"/>
  <c r="BS59" i="1"/>
  <c r="BS65" i="1"/>
  <c r="BS78" i="1"/>
  <c r="BS30" i="1"/>
  <c r="BS85" i="1"/>
  <c r="BS37" i="1"/>
  <c r="BS101" i="1"/>
  <c r="BS75" i="1"/>
  <c r="BS27" i="1"/>
  <c r="BS46" i="1"/>
  <c r="BS26" i="1"/>
  <c r="BS47" i="1"/>
  <c r="BS86" i="1"/>
  <c r="BS66" i="1"/>
  <c r="BS89" i="1"/>
  <c r="BS73" i="1"/>
  <c r="BS25" i="1"/>
  <c r="BS63" i="1"/>
  <c r="BS82" i="1"/>
  <c r="BS34" i="1"/>
  <c r="BS48" i="1"/>
  <c r="BS94" i="1"/>
  <c r="BS24" i="1"/>
  <c r="BS36" i="1"/>
  <c r="BS55" i="1"/>
  <c r="BS50" i="1"/>
  <c r="BS57" i="1"/>
  <c r="BS88" i="1"/>
  <c r="BS40" i="1"/>
  <c r="BS95" i="1"/>
  <c r="BS68" i="1"/>
  <c r="BS67" i="1"/>
  <c r="BS17" i="1"/>
  <c r="BS15" i="1"/>
  <c r="BS18" i="1"/>
  <c r="BS13" i="1"/>
  <c r="BS20" i="1"/>
  <c r="BS11" i="1"/>
  <c r="BS19" i="1"/>
  <c r="BS14" i="1"/>
  <c r="BS21" i="1"/>
  <c r="BS16" i="1"/>
  <c r="BS10" i="1"/>
  <c r="BS9" i="1"/>
  <c r="BS12" i="1"/>
  <c r="BI105" i="1"/>
  <c r="BP2" i="1" s="1"/>
  <c r="BG105" i="1"/>
  <c r="BS5" i="1"/>
  <c r="BS103" i="1"/>
  <c r="BS102" i="1"/>
  <c r="BS8" i="1"/>
  <c r="BS7" i="1"/>
  <c r="BS6" i="1"/>
  <c r="BN5" i="1"/>
  <c r="BN105" i="1" s="1"/>
  <c r="BO5" i="1"/>
  <c r="BO105" i="1" s="1"/>
  <c r="BM5" i="1"/>
  <c r="BM105" i="1" s="1"/>
  <c r="BJ107" i="1" l="1"/>
  <c r="BJ108" i="1" s="1"/>
  <c r="BK107" i="1" s="1"/>
  <c r="BK108" i="1" s="1"/>
  <c r="BP109" i="1"/>
  <c r="BI106" i="1"/>
  <c r="BL107" i="1" l="1"/>
  <c r="BL108" i="1" l="1"/>
  <c r="BL109" i="1" s="1"/>
  <c r="BL110" i="1" s="1"/>
  <c r="BJ109" i="1" l="1"/>
  <c r="BJ110" i="1" s="1"/>
  <c r="BK109" i="1" s="1"/>
  <c r="BK110" i="1" s="1"/>
  <c r="BP110" i="1" l="1"/>
  <c r="BP105" i="1"/>
  <c r="BP108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<sst xmlns="http://schemas.openxmlformats.org/spreadsheetml/2006/main" count="683" uniqueCount="309">
  <si>
    <t>TOMADAS (W)</t>
  </si>
  <si>
    <t>CIRCUITOS</t>
  </si>
  <si>
    <t>FATOR DE POTÊNCIA</t>
  </si>
  <si>
    <t>TENSÃO (V)</t>
  </si>
  <si>
    <t>AR COND. (W)</t>
  </si>
  <si>
    <t>DISJUNTOR</t>
  </si>
  <si>
    <t>POLOS</t>
  </si>
  <si>
    <t>(A)</t>
  </si>
  <si>
    <t>A</t>
  </si>
  <si>
    <t>B</t>
  </si>
  <si>
    <t>C</t>
  </si>
  <si>
    <t>LOCAL:</t>
  </si>
  <si>
    <t>DISJUNTOR GERAL (A):</t>
  </si>
  <si>
    <t>CARGA RESERVA (VA):</t>
  </si>
  <si>
    <t>FASES</t>
  </si>
  <si>
    <t>QUANTIDADE DE CABOS Noflam BWF 750V</t>
  </si>
  <si>
    <t>SEÇÃO NOMINAL mm²</t>
  </si>
  <si>
    <t>TAMANHO NOMINAL DOS ELETRODUTOS RÍGIDOS DE AÇO-CARBONO, EQUIVALÊNCIA</t>
  </si>
  <si>
    <t>NOMINAL (A)</t>
  </si>
  <si>
    <t>80% (A)</t>
  </si>
  <si>
    <t>DESCRIÇÃO DO EQUIPAMENTO</t>
  </si>
  <si>
    <t>POTÊNCIA (W)</t>
  </si>
  <si>
    <t>FP (COSf)</t>
  </si>
  <si>
    <t>REND</t>
  </si>
  <si>
    <t>POTENCIA (VA)</t>
  </si>
  <si>
    <t>ILUMINAÇÃO</t>
  </si>
  <si>
    <t>TOMADAS E EQUIPAMENTOS</t>
  </si>
  <si>
    <t>TUG</t>
  </si>
  <si>
    <t>CHUVEIRO ELÉTRICO</t>
  </si>
  <si>
    <t>FORNO MICROONDAS</t>
  </si>
  <si>
    <t>GELADEIRA</t>
  </si>
  <si>
    <t>FREEZER VERTICAL</t>
  </si>
  <si>
    <t>MICRO COMPUTADOR</t>
  </si>
  <si>
    <t>IMPRESSORA LASER</t>
  </si>
  <si>
    <t>IMPRESSORA JATO DE TINTA</t>
  </si>
  <si>
    <t>AR CONDICIONADO DE JANELA</t>
  </si>
  <si>
    <t>7500 BTU/h</t>
  </si>
  <si>
    <t>10000BTU/h</t>
  </si>
  <si>
    <t>12000BTU/h</t>
  </si>
  <si>
    <t>30000 BTU/h</t>
  </si>
  <si>
    <t>9000 BTU/h</t>
  </si>
  <si>
    <t>12000 BTU/h</t>
  </si>
  <si>
    <t>18000 BTU/h</t>
  </si>
  <si>
    <t>24000 BTU/h</t>
  </si>
  <si>
    <t>36000 BTU/h</t>
  </si>
  <si>
    <t>127V</t>
  </si>
  <si>
    <t>220V</t>
  </si>
  <si>
    <t>mm²</t>
  </si>
  <si>
    <t>A1</t>
  </si>
  <si>
    <t>A2</t>
  </si>
  <si>
    <t>B1</t>
  </si>
  <si>
    <t>B2</t>
  </si>
  <si>
    <t>D</t>
  </si>
  <si>
    <t>SEÇÕES NOMINAIS (mm²)</t>
  </si>
  <si>
    <t>E</t>
  </si>
  <si>
    <t>F</t>
  </si>
  <si>
    <t>G</t>
  </si>
  <si>
    <t>AR CONDICIONADO SPLIT</t>
  </si>
  <si>
    <t>TOTAL</t>
  </si>
  <si>
    <t>CAPACIDADE DO QUADRO (W):</t>
  </si>
  <si>
    <t>QUADRO DE CARGAS</t>
  </si>
  <si>
    <t>QUEDA DE TENSÃO (Watt x Metro)</t>
  </si>
  <si>
    <t>Seções de condutores fase (mm²)</t>
  </si>
  <si>
    <r>
      <t xml:space="preserve">Seção mínima do condutor </t>
    </r>
    <r>
      <rPr>
        <b/>
        <sz val="11"/>
        <color theme="1"/>
        <rFont val="Calibri"/>
        <family val="2"/>
        <scheme val="minor"/>
      </rPr>
      <t>NEUTRO</t>
    </r>
    <r>
      <rPr>
        <sz val="11"/>
        <color theme="1"/>
        <rFont val="Calibri"/>
        <family val="2"/>
        <scheme val="minor"/>
      </rPr>
      <t xml:space="preserve"> (mm²)</t>
    </r>
  </si>
  <si>
    <t>D
TUBOS</t>
  </si>
  <si>
    <t>TUBOS</t>
  </si>
  <si>
    <t>CAIXA EM ÂNGULO</t>
  </si>
  <si>
    <t>TUBO</t>
  </si>
  <si>
    <t>R</t>
  </si>
  <si>
    <t>H=8X O MAIOR DIÂMETRO</t>
  </si>
  <si>
    <t>GERAL</t>
  </si>
  <si>
    <t>DESCRIÇÃO DO CIRCUITO</t>
  </si>
  <si>
    <t>ALIMENTADOR (mm²):</t>
  </si>
  <si>
    <t>ILUMINAÇÃO (W)</t>
  </si>
  <si>
    <t>CAPACIDADE DE CONDUÇÃO (CONDUTORES DE COBRE, ISOLANTE EM PVC 70ºC)</t>
  </si>
  <si>
    <t>3 TRI</t>
  </si>
  <si>
    <t>3 JUST</t>
  </si>
  <si>
    <t>3 HOR</t>
  </si>
  <si>
    <t>3 VER</t>
  </si>
  <si>
    <t>CAPACIDADE DE CONDUÇÃO (CONDUTORES DE COBRE, ISOLANTE EM EPR OU XLPE 90ºC)</t>
  </si>
  <si>
    <t>MÉTODO DE INSTALAÇÃO:</t>
  </si>
  <si>
    <r>
      <t xml:space="preserve">Seção mínima do condutor </t>
    </r>
    <r>
      <rPr>
        <b/>
        <sz val="11"/>
        <color theme="1"/>
        <rFont val="Calibri"/>
        <family val="2"/>
        <scheme val="minor"/>
      </rPr>
      <t xml:space="preserve">TERRA </t>
    </r>
    <r>
      <rPr>
        <sz val="11"/>
        <color theme="1"/>
        <rFont val="Calibri"/>
        <family val="2"/>
        <scheme val="minor"/>
      </rPr>
      <t>(mm²)</t>
    </r>
  </si>
  <si>
    <t>CAIXA MOLDADA</t>
  </si>
  <si>
    <t>MINI-DISJUNTOR</t>
  </si>
  <si>
    <t>LIM. INFERIOR</t>
  </si>
  <si>
    <t>EQUILÍBRIO DE FASES</t>
  </si>
  <si>
    <t>COMPRIMENTO (m):</t>
  </si>
  <si>
    <t>TAMANHO NOMINAL DOS ELETRODUTOS, EM MILÍMETROS CONFORME NBR-5624 (EB-568)</t>
  </si>
  <si>
    <t>FATOR DE DEMANDA (%):</t>
  </si>
  <si>
    <t>TOTAL
(VA)</t>
  </si>
  <si>
    <t>TENSÃO
(V)</t>
  </si>
  <si>
    <t>CORRENTE
(A)</t>
  </si>
  <si>
    <t>TOTAL
(W)</t>
  </si>
  <si>
    <t>DESVIO ENTRE FASES (%):</t>
  </si>
  <si>
    <t>QUEDA ADMISSÍVEL (%):</t>
  </si>
  <si>
    <t>QUEDA CALCULADA (%):</t>
  </si>
  <si>
    <t>CARGA DEMANDADA (VA):</t>
  </si>
  <si>
    <t>QUEDA DE TENSÃO MÁXIMA ADIMITIDA PARA ALIMENTAÇÃO = 2%;
QUEDA DE TENSÃO MÁXIMA ADIMITIDA PARA CIRCÚITOS = 4%;
CABOS ALIMENTADORES E CIRCUITOS TRIFÁSICOS POSSUEM ISOLAMENTO 0,6/1,0KV EPR OU XLPE 90ºC;
CABOS DE DISTRIBUIÇÃO DOS CIRCUITOS POSSUEM ISOLAMENTO 450/750V PVC 70ºC.</t>
  </si>
  <si>
    <t>ÁREA DOS CABOS HEPR - 0,6-1KV - 90°C</t>
  </si>
  <si>
    <t>DIÂMETRO EXTERNO</t>
  </si>
  <si>
    <t>PESO (Kg/m)</t>
  </si>
  <si>
    <t>ÁREA
(mm²)</t>
  </si>
  <si>
    <t>BITOLA
(mm²)</t>
  </si>
  <si>
    <t>Número AWG</t>
  </si>
  <si>
    <t>Diâmetro (mm)</t>
  </si>
  <si>
    <t>Secção (mm2)</t>
  </si>
  <si>
    <t>Número de espiras por cm</t>
  </si>
  <si>
    <t>Kg por Km</t>
  </si>
  <si>
    <t>Resistência (ohms/Km)</t>
  </si>
  <si>
    <t>Capacidade (A)</t>
  </si>
  <si>
    <t>0000</t>
  </si>
  <si>
    <t>000</t>
  </si>
  <si>
    <t>00</t>
  </si>
  <si>
    <t>EQUIVALÊNCIA 1,0KV (F)</t>
  </si>
  <si>
    <t>13 x 1,5</t>
  </si>
  <si>
    <t>1/2 x 1/16</t>
  </si>
  <si>
    <t>10 x 2</t>
  </si>
  <si>
    <t>3/8 x 3/32</t>
  </si>
  <si>
    <t>13 x 2</t>
  </si>
  <si>
    <t>1/2 x 3/32</t>
  </si>
  <si>
    <t>15 x 2</t>
  </si>
  <si>
    <t>5/8 x 3/32</t>
  </si>
  <si>
    <t>20 x 2</t>
  </si>
  <si>
    <t>3/4 x 3/32</t>
  </si>
  <si>
    <t>10 x 3</t>
  </si>
  <si>
    <t>3/8 x 1/8</t>
  </si>
  <si>
    <t>13 x 3</t>
  </si>
  <si>
    <t>1/2 x 1/8</t>
  </si>
  <si>
    <t>15 x 3</t>
  </si>
  <si>
    <t>5/8 x 1/8</t>
  </si>
  <si>
    <t>20 x 3</t>
  </si>
  <si>
    <t>3/4 x 1/8</t>
  </si>
  <si>
    <t>22 x 3</t>
  </si>
  <si>
    <t>7/8 x 1/8</t>
  </si>
  <si>
    <t>25 x 3</t>
  </si>
  <si>
    <t>1 x 1/8</t>
  </si>
  <si>
    <t>50 x 3</t>
  </si>
  <si>
    <t>1.1/4 x 1/8</t>
  </si>
  <si>
    <t>40 x 3</t>
  </si>
  <si>
    <t>1.1/2 x 1/8</t>
  </si>
  <si>
    <t>44 x 3</t>
  </si>
  <si>
    <t>1.3/4 x 1/8</t>
  </si>
  <si>
    <t>2 x 1/8</t>
  </si>
  <si>
    <t>13 x 4</t>
  </si>
  <si>
    <t>1/2 x 5/32</t>
  </si>
  <si>
    <t>20 x 4</t>
  </si>
  <si>
    <t>3/4 x 5/32</t>
  </si>
  <si>
    <t>25 x 4</t>
  </si>
  <si>
    <t>1 x 5/32</t>
  </si>
  <si>
    <t>30 x 4</t>
  </si>
  <si>
    <t>1.1/4 x 5/32</t>
  </si>
  <si>
    <t>40 x 4</t>
  </si>
  <si>
    <t>1.1/2 x 5/32</t>
  </si>
  <si>
    <t>50 x 4</t>
  </si>
  <si>
    <t>2 x 5/32</t>
  </si>
  <si>
    <t>20 x 5</t>
  </si>
  <si>
    <t>3/4 x 3/16</t>
  </si>
  <si>
    <t>22 x 5</t>
  </si>
  <si>
    <t>7/8 x 3/16</t>
  </si>
  <si>
    <t>25 x 5</t>
  </si>
  <si>
    <t>1 x 3/16</t>
  </si>
  <si>
    <t>30 x 5</t>
  </si>
  <si>
    <t>1.1/4 x 3/16</t>
  </si>
  <si>
    <t>40 x 5</t>
  </si>
  <si>
    <t>1.1/2 x 3/16</t>
  </si>
  <si>
    <t>50 x 5</t>
  </si>
  <si>
    <t>2 x 3/16</t>
  </si>
  <si>
    <t>80 x 5</t>
  </si>
  <si>
    <t>3 x 3/16</t>
  </si>
  <si>
    <t>100 x 5</t>
  </si>
  <si>
    <t>4 x 3/16</t>
  </si>
  <si>
    <t>25 x 6</t>
  </si>
  <si>
    <t>1 x 1/4</t>
  </si>
  <si>
    <t>32 x 6</t>
  </si>
  <si>
    <t>1.1/4 x 1/4</t>
  </si>
  <si>
    <t>40 x 6</t>
  </si>
  <si>
    <t>1.1/2 x 1/4</t>
  </si>
  <si>
    <t>50 x 6</t>
  </si>
  <si>
    <t>2 x 1/4</t>
  </si>
  <si>
    <t>60 x 6</t>
  </si>
  <si>
    <t>2.1/2 x 1/4</t>
  </si>
  <si>
    <t>80 x 6</t>
  </si>
  <si>
    <t>3 x ¼</t>
  </si>
  <si>
    <t>100 x 6</t>
  </si>
  <si>
    <t>4 x 1/4</t>
  </si>
  <si>
    <t>127 x 6</t>
  </si>
  <si>
    <t>5 x 1/4</t>
  </si>
  <si>
    <t>152 x 6</t>
  </si>
  <si>
    <t>6 x 1/4</t>
  </si>
  <si>
    <t>203 x 6</t>
  </si>
  <si>
    <t>8 x 1/4</t>
  </si>
  <si>
    <t>40 x 8</t>
  </si>
  <si>
    <t>1.1/2 x 5/16</t>
  </si>
  <si>
    <t>50 x 8</t>
  </si>
  <si>
    <t>2 x 5/16</t>
  </si>
  <si>
    <t>60 x 8</t>
  </si>
  <si>
    <t>2.1/2 x 5/16</t>
  </si>
  <si>
    <t>80 x 8</t>
  </si>
  <si>
    <t>3 x 5/16</t>
  </si>
  <si>
    <t>60 x 5</t>
  </si>
  <si>
    <t>2.1/2 x 3/16</t>
  </si>
  <si>
    <t>mm</t>
  </si>
  <si>
    <t>polegada</t>
  </si>
  <si>
    <t>1 Barra 
nua</t>
  </si>
  <si>
    <t>1 Barra
pintada</t>
  </si>
  <si>
    <t>2 Barras 
nuas</t>
  </si>
  <si>
    <t>2 Barras 
pintadas</t>
  </si>
  <si>
    <t xml:space="preserve"> 3 Barras 
nuas</t>
  </si>
  <si>
    <t xml:space="preserve">3 Barras 
pintadas </t>
  </si>
  <si>
    <t>4 Barras 
nuas</t>
  </si>
  <si>
    <t>4 Barras 
pintadas</t>
  </si>
  <si>
    <t>Dimensões Capacidade em amperes (60Hz)</t>
  </si>
  <si>
    <t>QUADROS (VA)</t>
  </si>
  <si>
    <t>P1 (W)</t>
  </si>
  <si>
    <t>P2 (W)</t>
  </si>
  <si>
    <t>P3 (W)</t>
  </si>
  <si>
    <t>LUMINÁRIA FLUORESCENTE 2x40W  (REATOR)</t>
  </si>
  <si>
    <t>LUMINÁRIA LED T8 2x18W</t>
  </si>
  <si>
    <t>LÂMPADA INCANDESCENTE 40W</t>
  </si>
  <si>
    <t>LÂMPADA INCANDESCENTE 60W</t>
  </si>
  <si>
    <t>LÂMPADA INCANDESCENTE 100W</t>
  </si>
  <si>
    <t>CAFETEIRA</t>
  </si>
  <si>
    <t>SMART TV 32 POLEGADAS</t>
  </si>
  <si>
    <t xml:space="preserve">SMART TV 65 POLEGADAS </t>
  </si>
  <si>
    <t>PROJETOR</t>
  </si>
  <si>
    <t>VENTILADOR DE TETO</t>
  </si>
  <si>
    <t>VENTILADOR DE PAREDE</t>
  </si>
  <si>
    <t>20000 BTU/h</t>
  </si>
  <si>
    <t>48000 BTU/h</t>
  </si>
  <si>
    <t>60000 BTU/h</t>
  </si>
  <si>
    <t>AR CONDICIONADO SPLIT INVERTER</t>
  </si>
  <si>
    <t>f</t>
  </si>
  <si>
    <t>x</t>
  </si>
  <si>
    <t>CÁLCULOS DAS POTÊNCIAS</t>
  </si>
  <si>
    <t>QUEDA ADMISSÍVEL (%)</t>
  </si>
  <si>
    <t>COMPRIMENTO (m)</t>
  </si>
  <si>
    <t xml:space="preserve">QUEDA DE TENSÃO </t>
  </si>
  <si>
    <t>SEÇÃO SOBRECORRENTE (mm²)</t>
  </si>
  <si>
    <t>SEÇÃO QUEDA DE TENSÃO (mm²)</t>
  </si>
  <si>
    <t>TIPO DE ISOLANTE (PVC OU EPR,XLPE)</t>
  </si>
  <si>
    <t>Seção por queda de tensão - apoio</t>
  </si>
  <si>
    <t>MÉTODO DE INSTALAÇÃO</t>
  </si>
  <si>
    <t>SEÇÃO POR CIRCUITO (mm²)</t>
  </si>
  <si>
    <t>A1 - 3</t>
  </si>
  <si>
    <t>PVC</t>
  </si>
  <si>
    <t>S</t>
  </si>
  <si>
    <t>FATOR DE AGRUPAMENTO</t>
  </si>
  <si>
    <t>FATOR DE CORREÇÃO PARA TEMPERATURA AMBIENTE</t>
  </si>
  <si>
    <t>TIPO DA LINHA</t>
  </si>
  <si>
    <t>TEMPERATURA (°C)</t>
  </si>
  <si>
    <t>EPR OU XLPE</t>
  </si>
  <si>
    <t>Não-subterrânea</t>
  </si>
  <si>
    <t>Subterrânea</t>
  </si>
  <si>
    <t>TIPO DE LINHA</t>
  </si>
  <si>
    <t>NÃO SUBTERRÂNEA</t>
  </si>
  <si>
    <t>-</t>
  </si>
  <si>
    <t>TEMPERATURA AMBIENTE (°C)</t>
  </si>
  <si>
    <t>CORRENTE CORRIGIDA (A)</t>
  </si>
  <si>
    <t>Ref.</t>
  </si>
  <si>
    <t>Forma de agrupamento dos condutores</t>
  </si>
  <si>
    <t>Número de circuitos ou de cabos multipolares</t>
  </si>
  <si>
    <t>Tabelas dos métodos de referência</t>
  </si>
  <si>
    <t>1</t>
  </si>
  <si>
    <t>2</t>
  </si>
  <si>
    <t>3</t>
  </si>
  <si>
    <t>4</t>
  </si>
  <si>
    <t>5</t>
  </si>
  <si>
    <t>6</t>
  </si>
  <si>
    <t>7</t>
  </si>
  <si>
    <t>8</t>
  </si>
  <si>
    <t>9 a 11</t>
  </si>
  <si>
    <t>12 a 15</t>
  </si>
  <si>
    <t>16 a 19</t>
  </si>
  <si>
    <t>≥ 20</t>
  </si>
  <si>
    <t>36 a 39 (métodos A a F)</t>
  </si>
  <si>
    <t>36 a 37 (método C)</t>
  </si>
  <si>
    <t>38 e 39 (métodos E e F)</t>
  </si>
  <si>
    <t>NÚMERO DE CIRCUITOS NO MESMO ELETRODUTO OU BANDEJA</t>
  </si>
  <si>
    <t>Em feixe: ao ar livre ou sobre superfície; embutidos; em conduto fechado (métodos A a F)</t>
  </si>
  <si>
    <t>Camada única sobre parede, piso, ou em bandeja não perfurada ou prateleira (método C)</t>
  </si>
  <si>
    <t>Camada única no teto (método C)</t>
  </si>
  <si>
    <t>Camada única em bandeja perfurada (métodos E e F)</t>
  </si>
  <si>
    <t>Camada única sobre leito, suporte etc. (métodos E e F)</t>
  </si>
  <si>
    <t>FORMA DE AGRUPAMENTO DOS CONDUTORES</t>
  </si>
  <si>
    <t>FATOR DE DEMANDA (POR CIRCUITO)</t>
  </si>
  <si>
    <t>FATORES DE CORREÇÃO POR AGRUPAMENTO</t>
  </si>
  <si>
    <t>FATORES DE CORREÇÃO POR TEMPERATURA</t>
  </si>
  <si>
    <t>TENSÃO DE ISOLAÇÃO (kV)</t>
  </si>
  <si>
    <t>0,6 kV/1 kV</t>
  </si>
  <si>
    <t>127/220</t>
  </si>
  <si>
    <t>SISTEMA DE TENSÃO (V):</t>
  </si>
  <si>
    <t>A1 - 2</t>
  </si>
  <si>
    <t>A2 - 3</t>
  </si>
  <si>
    <t>A2 - 2</t>
  </si>
  <si>
    <t>B1 - 2</t>
  </si>
  <si>
    <t>B1 - 3</t>
  </si>
  <si>
    <t>B2 - 2</t>
  </si>
  <si>
    <t>B2 - 3</t>
  </si>
  <si>
    <t>C - 2</t>
  </si>
  <si>
    <t>C - 3</t>
  </si>
  <si>
    <t>D - 2</t>
  </si>
  <si>
    <t>D - 3</t>
  </si>
  <si>
    <t>E - 2</t>
  </si>
  <si>
    <t>E - 3</t>
  </si>
  <si>
    <t>F - 2</t>
  </si>
  <si>
    <t>F - 3TRI</t>
  </si>
  <si>
    <t>F - 3JUST</t>
  </si>
  <si>
    <t>G - 3HOR</t>
  </si>
  <si>
    <t>G - 3VER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</si>
</sst>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5" fillId="0" borderId="0"/>
  </cellStyleXfs>
  <cellXfs count="29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3" fontId="0" fillId="0" borderId="44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164" fontId="0" fillId="0" borderId="49" xfId="0" applyNumberFormat="1" applyBorder="1" applyAlignment="1">
      <alignment horizontal="center"/>
    </xf>
    <xf numFmtId="164" fontId="0" fillId="0" borderId="45" xfId="0" applyNumberFormat="1" applyBorder="1" applyAlignment="1">
      <alignment horizontal="center"/>
    </xf>
    <xf numFmtId="3" fontId="0" fillId="0" borderId="45" xfId="0" applyNumberFormat="1" applyBorder="1" applyAlignment="1">
      <alignment horizontal="center"/>
    </xf>
    <xf numFmtId="3" fontId="0" fillId="0" borderId="20" xfId="0" applyNumberFormat="1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2" fontId="0" fillId="0" borderId="8" xfId="0" applyNumberFormat="1" applyBorder="1" applyAlignment="1">
      <alignment horizontal="center" vertical="center"/>
    </xf>
    <xf numFmtId="12" fontId="0" fillId="0" borderId="9" xfId="0" applyNumberFormat="1" applyBorder="1" applyAlignment="1">
      <alignment horizontal="center" vertical="center"/>
    </xf>
    <xf numFmtId="0" fontId="0" fillId="2" borderId="48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0" borderId="32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3" fontId="0" fillId="0" borderId="3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12" fontId="0" fillId="0" borderId="0" xfId="0" applyNumberFormat="1"/>
    <xf numFmtId="12" fontId="0" fillId="0" borderId="0" xfId="0" applyNumberFormat="1" applyAlignment="1">
      <alignment horizontal="center" vertical="center"/>
    </xf>
    <xf numFmtId="12" fontId="0" fillId="0" borderId="1" xfId="0" applyNumberFormat="1" applyBorder="1" applyAlignment="1">
      <alignment horizontal="center" vertical="center"/>
    </xf>
    <xf numFmtId="12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5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2" borderId="46" xfId="0" applyFill="1" applyBorder="1" applyAlignment="1">
      <alignment horizontal="center" vertical="center"/>
    </xf>
    <xf numFmtId="0" fontId="0" fillId="2" borderId="47" xfId="0" applyFill="1" applyBorder="1" applyAlignment="1">
      <alignment horizontal="center" vertical="center"/>
    </xf>
    <xf numFmtId="0" fontId="0" fillId="2" borderId="60" xfId="0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12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0" borderId="1" xfId="0" applyBorder="1"/>
    <xf numFmtId="0" fontId="1" fillId="4" borderId="1" xfId="0" applyFont="1" applyFill="1" applyBorder="1" applyAlignment="1">
      <alignment horizontal="center" vertical="center"/>
    </xf>
    <xf numFmtId="12" fontId="0" fillId="0" borderId="7" xfId="0" applyNumberFormat="1" applyBorder="1" applyAlignment="1">
      <alignment horizontal="center" vertical="center"/>
    </xf>
    <xf numFmtId="165" fontId="4" fillId="2" borderId="8" xfId="0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12" fontId="4" fillId="0" borderId="7" xfId="0" applyNumberFormat="1" applyFont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2" fontId="4" fillId="2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165" fontId="4" fillId="2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0" borderId="44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center" vertical="center" wrapText="1"/>
    </xf>
    <xf numFmtId="2" fontId="4" fillId="2" borderId="8" xfId="0" applyNumberFormat="1" applyFont="1" applyFill="1" applyBorder="1" applyAlignment="1">
      <alignment horizontal="center" vertical="center" wrapText="1"/>
    </xf>
    <xf numFmtId="1" fontId="4" fillId="2" borderId="8" xfId="0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165" fontId="6" fillId="2" borderId="6" xfId="0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 wrapText="1"/>
    </xf>
    <xf numFmtId="165" fontId="6" fillId="2" borderId="44" xfId="0" applyNumberFormat="1" applyFont="1" applyFill="1" applyBorder="1" applyAlignment="1">
      <alignment horizontal="center" vertical="center" wrapText="1"/>
    </xf>
    <xf numFmtId="9" fontId="4" fillId="2" borderId="5" xfId="1" applyFont="1" applyFill="1" applyBorder="1" applyAlignment="1">
      <alignment horizontal="center" vertical="center" wrapText="1"/>
    </xf>
    <xf numFmtId="2" fontId="4" fillId="0" borderId="44" xfId="0" applyNumberFormat="1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/>
    </xf>
    <xf numFmtId="2" fontId="6" fillId="2" borderId="7" xfId="0" applyNumberFormat="1" applyFont="1" applyFill="1" applyBorder="1" applyAlignment="1">
      <alignment horizontal="center" vertical="center" wrapText="1"/>
    </xf>
    <xf numFmtId="2" fontId="6" fillId="2" borderId="8" xfId="0" applyNumberFormat="1" applyFont="1" applyFill="1" applyBorder="1" applyAlignment="1">
      <alignment horizontal="center" vertical="center" wrapText="1"/>
    </xf>
    <xf numFmtId="2" fontId="6" fillId="2" borderId="9" xfId="0" applyNumberFormat="1" applyFont="1" applyFill="1" applyBorder="1" applyAlignment="1">
      <alignment horizontal="center" vertical="center" wrapText="1"/>
    </xf>
    <xf numFmtId="0" fontId="5" fillId="0" borderId="1" xfId="2" applyBorder="1" applyAlignment="1">
      <alignment horizontal="center" vertical="center" wrapText="1"/>
    </xf>
    <xf numFmtId="165" fontId="5" fillId="0" borderId="1" xfId="2" applyNumberFormat="1" applyBorder="1" applyAlignment="1">
      <alignment horizontal="right" vertical="center"/>
    </xf>
    <xf numFmtId="2" fontId="5" fillId="0" borderId="1" xfId="2" applyNumberFormat="1" applyBorder="1" applyAlignment="1">
      <alignment horizontal="right" vertical="center"/>
    </xf>
    <xf numFmtId="0" fontId="5" fillId="0" borderId="1" xfId="2" applyBorder="1" applyAlignment="1">
      <alignment horizontal="center" vertical="center"/>
    </xf>
    <xf numFmtId="0" fontId="0" fillId="0" borderId="1" xfId="2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0" fillId="3" borderId="16" xfId="0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1" fontId="0" fillId="0" borderId="42" xfId="0" applyNumberFormat="1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vertical="center"/>
    </xf>
    <xf numFmtId="1" fontId="0" fillId="0" borderId="32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1" fontId="0" fillId="0" borderId="52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1" fontId="0" fillId="0" borderId="17" xfId="0" applyNumberFormat="1" applyBorder="1" applyAlignment="1">
      <alignment horizontal="center" vertical="center"/>
    </xf>
    <xf numFmtId="2" fontId="6" fillId="2" borderId="6" xfId="0" applyNumberFormat="1" applyFont="1" applyFill="1" applyBorder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 vertical="center" wrapText="1"/>
    </xf>
    <xf numFmtId="2" fontId="6" fillId="2" borderId="44" xfId="0" applyNumberFormat="1" applyFont="1" applyFill="1" applyBorder="1" applyAlignment="1">
      <alignment horizontal="center" vertical="center" wrapText="1"/>
    </xf>
    <xf numFmtId="165" fontId="6" fillId="2" borderId="6" xfId="0" applyNumberFormat="1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0" borderId="6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2" borderId="2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2" borderId="64" xfId="0" applyFont="1" applyFill="1" applyBorder="1" applyAlignment="1">
      <alignment vertical="center" wrapText="1"/>
    </xf>
    <xf numFmtId="0" fontId="4" fillId="2" borderId="56" xfId="0" applyFont="1" applyFill="1" applyBorder="1" applyAlignment="1">
      <alignment vertical="center" wrapText="1"/>
    </xf>
    <xf numFmtId="165" fontId="4" fillId="2" borderId="50" xfId="0" applyNumberFormat="1" applyFont="1" applyFill="1" applyBorder="1" applyAlignment="1">
      <alignment horizontal="center" vertical="center" wrapText="1"/>
    </xf>
    <xf numFmtId="165" fontId="4" fillId="2" borderId="32" xfId="0" applyNumberFormat="1" applyFont="1" applyFill="1" applyBorder="1" applyAlignment="1">
      <alignment horizontal="center" vertical="center" wrapText="1"/>
    </xf>
    <xf numFmtId="165" fontId="4" fillId="2" borderId="17" xfId="0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7" xfId="0" applyFont="1" applyBorder="1" applyAlignment="1">
      <alignment vertical="center" wrapText="1"/>
    </xf>
    <xf numFmtId="0" fontId="1" fillId="0" borderId="62" xfId="0" applyFont="1" applyBorder="1" applyAlignment="1">
      <alignment horizontal="center" vertical="top"/>
    </xf>
    <xf numFmtId="0" fontId="1" fillId="0" borderId="66" xfId="0" applyFont="1" applyBorder="1" applyAlignment="1">
      <alignment horizontal="center" vertical="top"/>
    </xf>
    <xf numFmtId="0" fontId="1" fillId="0" borderId="67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19" xfId="0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2" fontId="4" fillId="2" borderId="8" xfId="0" applyNumberFormat="1" applyFont="1" applyFill="1" applyBorder="1" applyAlignment="1">
      <alignment horizontal="center" vertical="center"/>
    </xf>
    <xf numFmtId="2" fontId="4" fillId="2" borderId="17" xfId="0" applyNumberFormat="1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1" fontId="4" fillId="2" borderId="1" xfId="0" applyNumberFormat="1" applyFont="1" applyFill="1" applyBorder="1" applyAlignment="1">
      <alignment horizontal="center" vertical="center"/>
    </xf>
    <xf numFmtId="1" fontId="4" fillId="2" borderId="3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4" fillId="0" borderId="63" xfId="0" applyFont="1" applyBorder="1" applyAlignment="1">
      <alignment horizontal="left" vertical="top" wrapText="1"/>
    </xf>
    <xf numFmtId="0" fontId="4" fillId="0" borderId="3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61" xfId="0" applyFont="1" applyBorder="1" applyAlignment="1">
      <alignment horizontal="left" vertical="top" wrapText="1"/>
    </xf>
    <xf numFmtId="0" fontId="4" fillId="2" borderId="3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1" fontId="4" fillId="2" borderId="13" xfId="0" applyNumberFormat="1" applyFont="1" applyFill="1" applyBorder="1" applyAlignment="1">
      <alignment horizontal="center" vertical="center" wrapText="1"/>
    </xf>
    <xf numFmtId="1" fontId="4" fillId="2" borderId="16" xfId="0" applyNumberFormat="1" applyFont="1" applyFill="1" applyBorder="1" applyAlignment="1">
      <alignment horizontal="center" vertical="center" wrapText="1"/>
    </xf>
    <xf numFmtId="1" fontId="4" fillId="2" borderId="14" xfId="0" applyNumberFormat="1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0" xfId="0" applyAlignment="1">
      <alignment horizontal="center" vertical="center" textRotation="90" wrapText="1"/>
    </xf>
    <xf numFmtId="0" fontId="0" fillId="0" borderId="0" xfId="0" applyAlignment="1">
      <alignment horizontal="center" vertical="center" textRotation="90"/>
    </xf>
    <xf numFmtId="0" fontId="1" fillId="4" borderId="1" xfId="0" applyFont="1" applyFill="1" applyBorder="1" applyAlignment="1">
      <alignment horizontal="center" vertical="center" textRotation="90"/>
    </xf>
    <xf numFmtId="0" fontId="1" fillId="4" borderId="62" xfId="0" applyFont="1" applyFill="1" applyBorder="1" applyAlignment="1">
      <alignment horizontal="center" vertical="center" textRotation="90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3" borderId="28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 wrapText="1"/>
    </xf>
    <xf numFmtId="0" fontId="0" fillId="2" borderId="45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/>
    </xf>
    <xf numFmtId="0" fontId="0" fillId="2" borderId="50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 wrapText="1"/>
    </xf>
    <xf numFmtId="0" fontId="0" fillId="3" borderId="45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3" borderId="48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9" fontId="1" fillId="2" borderId="27" xfId="0" applyNumberFormat="1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2" fontId="0" fillId="0" borderId="1" xfId="0" applyNumberFormat="1" applyBorder="1" applyAlignment="1">
      <alignment horizontal="center" vertical="center"/>
    </xf>
    <xf numFmtId="12" fontId="0" fillId="0" borderId="0" xfId="0" applyNumberFormat="1" applyAlignment="1">
      <alignment horizontal="left" vertical="center"/>
    </xf>
    <xf numFmtId="0" fontId="5" fillId="0" borderId="1" xfId="2" applyBorder="1" applyAlignment="1">
      <alignment horizontal="center" vertical="center"/>
    </xf>
  </cellXfs>
  <cellStyles count="3">
    <cellStyle name="Normal" xfId="0" builtinId="0"/>
    <cellStyle name="Normal 5" xfId="2" xr:uid="{00000000-0005-0000-0000-000001000000}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BU124"/>
  <sheetViews>
    <sheetView tabSelected="1" view="pageBreakPreview" topLeftCell="AR1" zoomScale="85" zoomScaleNormal="100" zoomScaleSheetLayoutView="85" workbookViewId="0">
      <selection activeCell="BE5" sqref="BE5"/>
    </sheetView>
  </sheetViews>
  <sheetFormatPr defaultRowHeight="14.5" x14ac:dyDescent="0.35"/>
  <cols>
    <col min="1" max="1" width="10.26953125" bestFit="1" customWidth="1"/>
    <col min="2" max="2" width="6.54296875" customWidth="1"/>
    <col min="3" max="21" width="6.26953125" customWidth="1"/>
    <col min="22" max="22" width="5.81640625" customWidth="1"/>
    <col min="23" max="31" width="6.26953125" customWidth="1"/>
    <col min="32" max="32" width="6.7265625" customWidth="1"/>
    <col min="33" max="41" width="6.26953125" customWidth="1"/>
    <col min="42" max="42" width="10.26953125" bestFit="1" customWidth="1"/>
    <col min="43" max="43" width="10.54296875" customWidth="1"/>
    <col min="44" max="44" width="14" customWidth="1"/>
    <col min="45" max="45" width="13" customWidth="1"/>
    <col min="46" max="50" width="14.1796875" customWidth="1"/>
    <col min="51" max="51" width="28.81640625" customWidth="1"/>
    <col min="52" max="56" width="14.1796875" customWidth="1"/>
    <col min="57" max="57" width="8.26953125" customWidth="1"/>
    <col min="58" max="59" width="10" customWidth="1"/>
    <col min="60" max="60" width="6.81640625" customWidth="1"/>
    <col min="61" max="61" width="9.90625" customWidth="1"/>
    <col min="62" max="64" width="4.54296875" customWidth="1"/>
    <col min="65" max="67" width="7.1796875" customWidth="1"/>
    <col min="68" max="68" width="13" customWidth="1"/>
    <col min="69" max="70" width="14" customWidth="1"/>
    <col min="71" max="71" width="27.453125" customWidth="1"/>
    <col min="72" max="72" width="23.81640625" style="52" customWidth="1"/>
    <col min="73" max="73" width="9.54296875" customWidth="1"/>
  </cols>
  <sheetData>
    <row r="1" spans="1:73" ht="15" customHeight="1" thickBot="1" x14ac:dyDescent="0.4">
      <c r="A1" s="223" t="s">
        <v>60</v>
      </c>
      <c r="B1" s="224"/>
      <c r="C1" s="224"/>
      <c r="D1" s="224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25"/>
      <c r="AS1" s="225"/>
      <c r="AT1" s="225"/>
      <c r="AU1" s="225"/>
      <c r="AV1" s="225"/>
      <c r="AW1" s="225"/>
      <c r="AX1" s="225"/>
      <c r="AY1" s="225"/>
      <c r="AZ1" s="225"/>
      <c r="BA1" s="225"/>
      <c r="BB1" s="225"/>
      <c r="BC1" s="225"/>
      <c r="BD1" s="225"/>
      <c r="BE1" s="225"/>
      <c r="BF1" s="225"/>
      <c r="BG1" s="225"/>
      <c r="BH1" s="225"/>
      <c r="BI1" s="225"/>
      <c r="BJ1" s="225"/>
      <c r="BK1" s="225"/>
      <c r="BL1" s="225"/>
      <c r="BM1" s="225"/>
      <c r="BN1" s="225"/>
      <c r="BO1" s="225"/>
      <c r="BP1" s="226"/>
      <c r="BQ1" s="226"/>
      <c r="BR1" s="226"/>
      <c r="BS1" s="226"/>
      <c r="BT1" s="227"/>
      <c r="BU1" s="1"/>
    </row>
    <row r="2" spans="1:73" ht="24" customHeight="1" thickBot="1" x14ac:dyDescent="0.4">
      <c r="A2" s="90" t="s">
        <v>11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6"/>
      <c r="AP2" s="217" t="s">
        <v>233</v>
      </c>
      <c r="AQ2" s="218"/>
      <c r="AR2" s="219"/>
      <c r="AS2" s="185" t="s">
        <v>236</v>
      </c>
      <c r="AT2" s="186"/>
      <c r="AU2" s="168"/>
      <c r="AV2" s="168"/>
      <c r="AW2" s="168"/>
      <c r="AX2" s="168"/>
      <c r="AY2" s="185" t="s">
        <v>285</v>
      </c>
      <c r="AZ2" s="193"/>
      <c r="BA2" s="186"/>
      <c r="BB2" s="185" t="s">
        <v>286</v>
      </c>
      <c r="BC2" s="193"/>
      <c r="BD2" s="186"/>
      <c r="BE2" s="161"/>
      <c r="BF2" s="162"/>
      <c r="BG2" s="177"/>
      <c r="BH2" s="220" t="s">
        <v>59</v>
      </c>
      <c r="BI2" s="221"/>
      <c r="BJ2" s="221"/>
      <c r="BK2" s="221"/>
      <c r="BL2" s="221"/>
      <c r="BM2" s="221"/>
      <c r="BN2" s="221"/>
      <c r="BO2" s="221"/>
      <c r="BP2" s="228" t="e">
        <f>IF(BI105="","",381*BI105*0.8)</f>
        <v>#N/A</v>
      </c>
      <c r="BQ2" s="229"/>
      <c r="BR2" s="229"/>
      <c r="BS2" s="229"/>
      <c r="BT2" s="230"/>
      <c r="BU2" s="2"/>
    </row>
    <row r="3" spans="1:73" s="4" customFormat="1" ht="15.75" customHeight="1" thickBot="1" x14ac:dyDescent="0.4">
      <c r="A3" s="231" t="s">
        <v>1</v>
      </c>
      <c r="B3" s="216" t="s">
        <v>73</v>
      </c>
      <c r="C3" s="194"/>
      <c r="D3" s="194"/>
      <c r="E3" s="194"/>
      <c r="F3" s="194"/>
      <c r="G3" s="194"/>
      <c r="H3" s="194"/>
      <c r="I3" s="194"/>
      <c r="J3" s="194"/>
      <c r="K3" s="196"/>
      <c r="L3" s="216" t="s">
        <v>0</v>
      </c>
      <c r="M3" s="194"/>
      <c r="N3" s="194"/>
      <c r="O3" s="194"/>
      <c r="P3" s="194"/>
      <c r="Q3" s="194"/>
      <c r="R3" s="194"/>
      <c r="S3" s="194"/>
      <c r="T3" s="194"/>
      <c r="U3" s="196"/>
      <c r="V3" s="216" t="s">
        <v>4</v>
      </c>
      <c r="W3" s="194"/>
      <c r="X3" s="194"/>
      <c r="Y3" s="194"/>
      <c r="Z3" s="194"/>
      <c r="AA3" s="194"/>
      <c r="AB3" s="194"/>
      <c r="AC3" s="194"/>
      <c r="AD3" s="194"/>
      <c r="AE3" s="196"/>
      <c r="AF3" s="216" t="s">
        <v>212</v>
      </c>
      <c r="AG3" s="194"/>
      <c r="AH3" s="194"/>
      <c r="AI3" s="194"/>
      <c r="AJ3" s="194"/>
      <c r="AK3" s="194"/>
      <c r="AL3" s="194"/>
      <c r="AM3" s="194"/>
      <c r="AN3" s="194"/>
      <c r="AO3" s="196"/>
      <c r="AP3" s="187" t="s">
        <v>92</v>
      </c>
      <c r="AQ3" s="214" t="s">
        <v>2</v>
      </c>
      <c r="AR3" s="187" t="s">
        <v>89</v>
      </c>
      <c r="AS3" s="163"/>
      <c r="AT3" s="164"/>
      <c r="AU3" s="187" t="s">
        <v>241</v>
      </c>
      <c r="AV3" s="187" t="s">
        <v>239</v>
      </c>
      <c r="AW3" s="191" t="s">
        <v>287</v>
      </c>
      <c r="AX3" s="187" t="s">
        <v>284</v>
      </c>
      <c r="AY3" s="191" t="s">
        <v>283</v>
      </c>
      <c r="AZ3" s="191" t="s">
        <v>277</v>
      </c>
      <c r="BA3" s="187" t="s">
        <v>246</v>
      </c>
      <c r="BB3" s="187" t="s">
        <v>253</v>
      </c>
      <c r="BC3" s="187" t="s">
        <v>256</v>
      </c>
      <c r="BD3" s="187" t="s">
        <v>247</v>
      </c>
      <c r="BE3" s="187" t="s">
        <v>90</v>
      </c>
      <c r="BF3" s="191" t="s">
        <v>91</v>
      </c>
      <c r="BG3" s="214" t="s">
        <v>257</v>
      </c>
      <c r="BH3" s="220" t="s">
        <v>5</v>
      </c>
      <c r="BI3" s="222"/>
      <c r="BJ3" s="220" t="s">
        <v>14</v>
      </c>
      <c r="BK3" s="221"/>
      <c r="BL3" s="222"/>
      <c r="BM3" s="220" t="s">
        <v>85</v>
      </c>
      <c r="BN3" s="221"/>
      <c r="BO3" s="222"/>
      <c r="BP3" s="233" t="s">
        <v>237</v>
      </c>
      <c r="BQ3" s="191" t="s">
        <v>238</v>
      </c>
      <c r="BR3" s="191" t="s">
        <v>242</v>
      </c>
      <c r="BS3" s="191" t="s">
        <v>245</v>
      </c>
      <c r="BT3" s="191" t="s">
        <v>71</v>
      </c>
    </row>
    <row r="4" spans="1:73" s="4" customFormat="1" ht="58.5" thickBot="1" x14ac:dyDescent="0.4">
      <c r="A4" s="232"/>
      <c r="B4" s="91"/>
      <c r="C4" s="92"/>
      <c r="D4" s="92"/>
      <c r="E4" s="92"/>
      <c r="F4" s="92"/>
      <c r="G4" s="92"/>
      <c r="H4" s="92"/>
      <c r="I4" s="92"/>
      <c r="J4" s="92"/>
      <c r="K4" s="93"/>
      <c r="L4" s="91"/>
      <c r="M4" s="92"/>
      <c r="N4" s="92"/>
      <c r="O4" s="92"/>
      <c r="P4" s="92"/>
      <c r="Q4" s="92"/>
      <c r="R4" s="92"/>
      <c r="S4" s="92"/>
      <c r="T4" s="92"/>
      <c r="U4" s="93"/>
      <c r="V4" s="91"/>
      <c r="W4" s="92"/>
      <c r="X4" s="92"/>
      <c r="Y4" s="92"/>
      <c r="Z4" s="92"/>
      <c r="AA4" s="92"/>
      <c r="AB4" s="92"/>
      <c r="AC4" s="92"/>
      <c r="AD4" s="92"/>
      <c r="AE4" s="93"/>
      <c r="AF4" s="94"/>
      <c r="AG4" s="92"/>
      <c r="AH4" s="92"/>
      <c r="AI4" s="92"/>
      <c r="AJ4" s="92"/>
      <c r="AK4" s="92"/>
      <c r="AL4" s="92"/>
      <c r="AM4" s="92"/>
      <c r="AN4" s="92"/>
      <c r="AO4" s="93">
        <v>10000</v>
      </c>
      <c r="AP4" s="188"/>
      <c r="AQ4" s="215"/>
      <c r="AR4" s="188"/>
      <c r="AS4" s="156" t="s">
        <v>234</v>
      </c>
      <c r="AT4" s="156" t="s">
        <v>235</v>
      </c>
      <c r="AU4" s="188"/>
      <c r="AV4" s="188"/>
      <c r="AW4" s="192"/>
      <c r="AX4" s="188"/>
      <c r="AY4" s="192"/>
      <c r="AZ4" s="192"/>
      <c r="BA4" s="188"/>
      <c r="BB4" s="188"/>
      <c r="BC4" s="188"/>
      <c r="BD4" s="188"/>
      <c r="BE4" s="188"/>
      <c r="BF4" s="192"/>
      <c r="BG4" s="215"/>
      <c r="BH4" s="95" t="s">
        <v>6</v>
      </c>
      <c r="BI4" s="159" t="s">
        <v>7</v>
      </c>
      <c r="BJ4" s="97" t="s">
        <v>8</v>
      </c>
      <c r="BK4" s="96" t="s">
        <v>9</v>
      </c>
      <c r="BL4" s="98" t="s">
        <v>10</v>
      </c>
      <c r="BM4" s="97" t="s">
        <v>8</v>
      </c>
      <c r="BN4" s="96" t="s">
        <v>9</v>
      </c>
      <c r="BO4" s="98" t="s">
        <v>10</v>
      </c>
      <c r="BP4" s="234"/>
      <c r="BQ4" s="192"/>
      <c r="BR4" s="192"/>
      <c r="BS4" s="192"/>
      <c r="BT4" s="192"/>
      <c r="BU4" s="2" t="s">
        <v>240</v>
      </c>
    </row>
    <row r="5" spans="1:73" ht="36.5" customHeight="1" thickBot="1" x14ac:dyDescent="0.4">
      <c r="A5" s="99">
        <v>1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>
        <v>1</v>
      </c>
      <c r="AP5" s="101">
        <f>IF(SUMPRODUCT(B5:AO5, $B$4:$AO$4)=0, "", SUMPRODUCT(B5:AO5, B$4:AO$4))</f>
        <v>10000</v>
      </c>
      <c r="AQ5" s="108">
        <f t="shared" ref="AQ5:AQ68" si="0">IF(AP5="","",IF((SUM(B5:K5)+SUM(AF5:AO5))&gt;=1,1,0.92))</f>
        <v>1</v>
      </c>
      <c r="AR5" s="103">
        <f>IF(AP5="","",ROUND((AP5/AQ5),0))</f>
        <v>10000</v>
      </c>
      <c r="AS5" s="100">
        <v>4</v>
      </c>
      <c r="AT5" s="169">
        <v>10</v>
      </c>
      <c r="AU5" s="175" t="s">
        <v>308</v>
      </c>
      <c r="AV5" s="172" t="s">
        <v>244</v>
      </c>
      <c r="AW5" s="172" t="s">
        <v>288</v>
      </c>
      <c r="AX5" s="172">
        <v>1</v>
      </c>
      <c r="AY5" s="172" t="s">
        <v>278</v>
      </c>
      <c r="AZ5" s="172" t="s">
        <v>262</v>
      </c>
      <c r="BA5" s="172">
        <f>INDEX(AGRUPAMENTO!C3:N7,MATCH(AY5,AGRUPAMENTO!B3:B7,0),MATCH(AZ5,AGRUPAMENTO!C2:N2,0))</f>
        <v>1</v>
      </c>
      <c r="BB5" s="174" t="s">
        <v>254</v>
      </c>
      <c r="BC5" s="176">
        <v>30</v>
      </c>
      <c r="BD5" s="172">
        <f>IF(BB5="SUBTERRÂNEA",IF(AV5="PVC",VLOOKUP(BC5,TEMPERATURA!G2:H16,2,0),VLOOKUP(BC5,TEMPERATURA!G2:I16,3,0)),IF(AV5="PVC",VLOOKUP(BC5,TEMPERATURA!B2:C16,2,0),VLOOKUP(BC5,TEMPERATURA!B2:D16,3,0)))</f>
        <v>1</v>
      </c>
      <c r="BE5" s="102">
        <f>IF(
   AP5="",
   "",
   _xlfn.IFS(
      $BI$111="127/220",
      IF(
         BH5=1,
         127,
         IF(
            BH5=2,
            ROUND(127*SQRT(3),0),
            IF(
               BH5=3,
               ROUND(127*SQRT(3),0),
               ""
            )
         )
      ),
      $BI$111="220/380",
      IF(
         BH5=1,
         220,
         IF(
            BH5=2,
            ROUND(220*SQRT(3),0)-1,
            IF(
               BH5=3,
               ROUND(220*SQRT(3),0)-1,
               ""
            )
         )
      ),
      $BI$111="254/440",
      IF(
         BH5=1,
         254,
         IF(
            BH5=2,
            ROUND(254*SQRT(3),0),
            IF(
               BH5=3,
               ROUND(254*SQRT(3),0),
               ""
            )
         )
      )
   )
)</f>
        <v>127</v>
      </c>
      <c r="BF5" s="102">
        <f t="shared" ref="BF5:BF36" si="1">IF(AP5="","",ROUND(AR5/IF(BH5=1,127,IF(BH5=2,220,IF(BH5=3,381,""))),1))</f>
        <v>78.7</v>
      </c>
      <c r="BG5" s="102">
        <f>(BF5*AX5)/(BD5*BA5)</f>
        <v>78.7</v>
      </c>
      <c r="BH5" s="102">
        <f>IF(COUNTA(BJ5:BL5)=0,"",COUNTA(BJ5:BL5))</f>
        <v>1</v>
      </c>
      <c r="BI5" s="173">
        <f>IF(AP5="","",
   IF(COUNTA(V5:AE5)&gt;=1,
      MAX(IFERROR(_xlfn.AGGREGATE(15,6,DISJUNTORES!$C$2:$C$100/(DISJUNTORES!$C$2:$C$100&gt;=BG5),1),""),25),
   IF(COUNTA(L5:U5)&gt;=1,
      MAX(IFERROR(_xlfn.AGGREGATE(15,6,DISJUNTORES!$C$2:$C$100/(DISJUNTORES!$C$2:$C$100&gt;=BG5),1),""),20),
   IF(COUNTA(B5:K5)&gt;=1,
      MAX(IFERROR(_xlfn.AGGREGATE(15,6,DISJUNTORES!$C$2:$C$100/(DISJUNTORES!$C$2:$C$100&gt;=BG5),1),""),16),
   IFERROR(_xlfn.AGGREGATE(15,6,DISJUNTORES!$C$2:$C$100/(DISJUNTORES!$C$2:$C$100&gt;=BG5),1),"")))))</f>
        <v>80</v>
      </c>
      <c r="BJ5" s="100" t="s">
        <v>232</v>
      </c>
      <c r="BK5" s="100"/>
      <c r="BL5" s="100"/>
      <c r="BM5" s="103">
        <f t="shared" ref="BM5:BM36" si="2">IF(IF(BJ5="","",AR5/COUNTA(BJ5:BL5))=0,"",IF(BJ5="","",AR5/COUNTA(BJ5:BL5)))</f>
        <v>10000</v>
      </c>
      <c r="BN5" s="103" t="str">
        <f t="shared" ref="BN5:BN36" si="3">IF(IF(BK5="","",AR5/COUNTA(BJ5:BL5))=0,"",IF(BK5="","",AR5/COUNTA(BJ5:BL5)))</f>
        <v/>
      </c>
      <c r="BO5" s="103" t="str">
        <f t="shared" ref="BO5:BO36" si="4">IF(IF(BL5="","",AR5/COUNTA(BJ5:BL5))=0,"",IF(BL5="","",AR5/COUNTA(BJ5:BL5)))</f>
        <v/>
      </c>
      <c r="BP5" s="104" t="e">
        <f>INDEX('CAP CONDUÇÃO 70º'!W2:AP25,MATCH(BI5,'CAP CONDUÇÃO 70º'!W2:AP25,1)+1)</f>
        <v>#N/A</v>
      </c>
      <c r="BQ5" s="165">
        <f>IF(AV5="PVC",INDEX('CAP CONDUÇÃO 70º'!A4:A27,MATCH(BU5,'CAP CONDUÇÃO 70º'!A4:A27,1)+1),INDEX('CAP CONDUÇÃO 90º'!A4:A27,MATCH(BU5,'CAP CONDUÇÃO 90º'!A4:A27,1)+1))</f>
        <v>6</v>
      </c>
      <c r="BR5" s="165" t="e">
        <f ca="1">IF(CONTARVALORES(L5:AO5)&gt;0, MAX(2.5, MAX(BP5:BQ5)), MAX(1.5, MAX(BP5:BQ5)))</f>
        <v>#NAME?</v>
      </c>
      <c r="BS5" s="165" t="str">
        <f>IFERROR(IF(BP5="","","3F#"&amp;BR5&amp;"mm²+N"&amp;VLOOKUP($BR$5,NEUTRO!$A:$B,2,0)&amp;"mm²+T"&amp;VLOOKUP($BR$5,TERRA!$A:$B,2,0)&amp;"mm²"),"")</f>
        <v/>
      </c>
      <c r="BT5" s="105"/>
      <c r="BU5" s="2">
        <f>_xlfn.IFS(
                    BH5=1, (100*2*AT5*BG5*(1/58))/(AS5*BE5),
                    BH5=2, (100*2*AT5*BG5*(1/58))/(AS5*BE5),
                    BH5=3, (100*SQRT(3)*AT5*BG5*(1/58))/(AS5*BE5)
                )</f>
        <v>5.3421124083627474</v>
      </c>
    </row>
    <row r="6" spans="1:73" ht="36.5" thickBot="1" x14ac:dyDescent="0.4">
      <c r="A6" s="106">
        <v>2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>
        <v>2</v>
      </c>
      <c r="AP6" s="101">
        <f>IF(SUMPRODUCT(B6:AO6, B$4:AO$4)=0, "", SUMPRODUCT(B6:AO6, B$4:AO$4))</f>
        <v>20000</v>
      </c>
      <c r="AQ6" s="108">
        <f t="shared" si="0"/>
        <v>1</v>
      </c>
      <c r="AR6" s="109">
        <f t="shared" ref="AR6:AR69" si="5">IF(AP6="","",ROUND((AP6/AQ6),0))</f>
        <v>20000</v>
      </c>
      <c r="AS6" s="107"/>
      <c r="AT6" s="170"/>
      <c r="AU6" s="107"/>
      <c r="AV6" s="107"/>
      <c r="AW6" s="107"/>
      <c r="AX6" s="107"/>
      <c r="AY6" s="172" t="s">
        <v>278</v>
      </c>
      <c r="AZ6" s="172" t="s">
        <v>262</v>
      </c>
      <c r="BA6" s="172" t="e">
        <f>INDEX(AGRUPAMENTO!C4:N8,MATCH(AY6,AGRUPAMENTO!B4:B8,0),MATCH(AZ6,AGRUPAMENTO!C3:N3,0))</f>
        <v>#N/A</v>
      </c>
      <c r="BB6" s="174" t="s">
        <v>254</v>
      </c>
      <c r="BC6" s="176">
        <v>30</v>
      </c>
      <c r="BD6" s="172">
        <f>IF(BB6="SUBTERRÂNEA",IF(AV6="PVC",VLOOKUP(BC6,TEMPERATURA!G3:H17,2,0),VLOOKUP(BC6,TEMPERATURA!G3:I17,3,0)),IF(AV6="PVC",VLOOKUP(BC6,TEMPERATURA!B3:C17,2,0),VLOOKUP(BC6,TEMPERATURA!B3:D17,3,0)))</f>
        <v>1</v>
      </c>
      <c r="BE6" s="102">
        <f t="shared" ref="BE5:BE36" si="6">IF(
   AP6="",
   "",
   _xlfn.IFS(
      $BI$111="127/220",
      IF(
         BH6=1,
         127,
         IF(
            BH6=2,
            ROUND(127*SQRT(3),0),
            IF(
               BH6=3,
               ROUND(127*SQRT(3),0),
               ""
            )
         )
      ),
      $BI$111="220/380",
      IF(
         BH6=1,
         220,
         IF(
            BH6=2,
            ROUND(220*SQRT(3),0)-1,
            IF(
               BH6=3,
               ROUND(220*SQRT(3),0)-1,
               ""
            )
         )
      ),
      $BI$111="254/440",
      IF(
         BH6=1,
         254,
         IF(
            BH6=2,
            ROUND(254*SQRT(3),0),
            IF(
               BH6=3,
               ROUND(254*SQRT(3),0),
               ""
            )
         )
      )
   )
)</f>
        <v>127</v>
      </c>
      <c r="BF6" s="108">
        <f t="shared" si="1"/>
        <v>157.5</v>
      </c>
      <c r="BG6" s="102" t="e">
        <f t="shared" ref="BG6:BG69" si="7">(BF6*AX6)/(BD6*BA6)</f>
        <v>#N/A</v>
      </c>
      <c r="BH6" s="108">
        <f t="shared" ref="BH6:BH69" si="8">IF(COUNTA(BJ6:BL6)=0,"",COUNTA(BJ6:BL6))</f>
        <v>1</v>
      </c>
      <c r="BI6" s="173">
        <f>IF(AP6="","",
   IF(COUNTA(V6:AE6)&gt;=1,
      MAX(IFERROR(_xlfn.AGGREGATE(15,6,DISJUNTORES!$C$2:$C$100/(DISJUNTORES!$C$2:$C$100&gt;=BF6),1),""),25),
   IF(COUNTA(L6:U6)&gt;=1,
      MAX(IFERROR(_xlfn.AGGREGATE(15,6,DISJUNTORES!$C$2:$C$100/(DISJUNTORES!$C$2:$C$100&gt;=BF6),1),""),20),
   IF(COUNTA(A6:K6)&gt;=1,
      MAX(IFERROR(_xlfn.AGGREGATE(15,6,DISJUNTORES!$C$2:$C$100/(DISJUNTORES!$C$2:$C$100&gt;=BF6),1),""),16),
   IFERROR(_xlfn.AGGREGATE(15,6,DISJUNTORES!$C$2:$C$100/(DISJUNTORES!$C$2:$C$100&gt;=BF6),1),"")))))</f>
        <v>175</v>
      </c>
      <c r="BJ6" s="107" t="s">
        <v>232</v>
      </c>
      <c r="BK6" s="107"/>
      <c r="BL6" s="107"/>
      <c r="BM6" s="109">
        <f t="shared" si="2"/>
        <v>20000</v>
      </c>
      <c r="BN6" s="109" t="str">
        <f t="shared" si="3"/>
        <v/>
      </c>
      <c r="BO6" s="109" t="str">
        <f t="shared" si="4"/>
        <v/>
      </c>
      <c r="BP6" s="104" t="str" cm="1">
        <f t="array" ref="BP6">IFERROR(
    INDEX(
        IF(AV6="PVC", 'CAP CONDUÇÃO 70º'!$A:$A, 'CAP CONDUÇÃO 90º'!$A:$A),
        IF(
            COUNTIF(
                IF(AV6="PVC",
                   CHOOSE(
                       MATCH(AU6,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BI6
            ) &gt; 0,
            MATCH(BI6,
                IF(AV6="PVC",
                   CHOOSE(
                       MATCH(AU6,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MATCH(BI6,
                IF(AV6="PVC",
                   CHOOSE(
                       MATCH(AU6,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6" s="166"/>
      <c r="BR6" s="166"/>
      <c r="BS6" s="165" t="str">
        <f ca="1">IFERROR(IF(BP6="","","3F#"&amp;BR6&amp;"mm²+N"&amp;VLOOKUP($BR$5,NEUTRO!$A:$B,2,0)&amp;"mm²+T"&amp;VLOOKUP($BR$5,TERRA!$A:$B,2,0)&amp;"mm²"),"")</f>
        <v/>
      </c>
      <c r="BT6" s="110"/>
      <c r="BU6" s="2"/>
    </row>
    <row r="7" spans="1:73" ht="36.5" thickBot="1" x14ac:dyDescent="0.4">
      <c r="A7" s="106">
        <v>3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>
        <v>3</v>
      </c>
      <c r="AP7" s="101">
        <f>IF(SUMPRODUCT(B7:AO7, B$4:AO$4)=0, "", SUMPRODUCT(B7:AO7, B$4:AO$4))</f>
        <v>30000</v>
      </c>
      <c r="AQ7" s="108">
        <f t="shared" si="0"/>
        <v>1</v>
      </c>
      <c r="AR7" s="109">
        <f t="shared" si="5"/>
        <v>30000</v>
      </c>
      <c r="AS7" s="107"/>
      <c r="AT7" s="170"/>
      <c r="AU7" s="107"/>
      <c r="AV7" s="107"/>
      <c r="AW7" s="107"/>
      <c r="AX7" s="107"/>
      <c r="AY7" s="172" t="s">
        <v>278</v>
      </c>
      <c r="AZ7" s="172" t="s">
        <v>262</v>
      </c>
      <c r="BA7" s="172" t="e">
        <f>INDEX(AGRUPAMENTO!C5:N9,MATCH(AY7,AGRUPAMENTO!B5:B9,0),MATCH(AZ7,AGRUPAMENTO!C4:N4,0))</f>
        <v>#N/A</v>
      </c>
      <c r="BB7" s="174" t="s">
        <v>254</v>
      </c>
      <c r="BC7" s="176">
        <v>30</v>
      </c>
      <c r="BD7" s="172">
        <f>IF(BB7="SUBTERRÂNEA",IF(AV7="PVC",VLOOKUP(BC7,TEMPERATURA!G4:H18,2,0),VLOOKUP(BC7,TEMPERATURA!G4:I18,3,0)),IF(AV7="PVC",VLOOKUP(BC7,TEMPERATURA!B4:C18,2,0),VLOOKUP(BC7,TEMPERATURA!B4:D18,3,0)))</f>
        <v>1</v>
      </c>
      <c r="BE7" s="102">
        <f t="shared" si="6"/>
        <v>127</v>
      </c>
      <c r="BF7" s="108">
        <f t="shared" si="1"/>
        <v>236.2</v>
      </c>
      <c r="BG7" s="102" t="e">
        <f t="shared" si="7"/>
        <v>#N/A</v>
      </c>
      <c r="BH7" s="108">
        <f t="shared" si="8"/>
        <v>1</v>
      </c>
      <c r="BI7" s="173">
        <f>IF(AP7="","",
   IF(COUNTA(V7:AE7)&gt;=1,
      MAX(IFERROR(_xlfn.AGGREGATE(15,6,DISJUNTORES!$C$2:$C$100/(DISJUNTORES!$C$2:$C$100&gt;=BF7),1),""),25),
   IF(COUNTA(L7:U7)&gt;=1,
      MAX(IFERROR(_xlfn.AGGREGATE(15,6,DISJUNTORES!$C$2:$C$100/(DISJUNTORES!$C$2:$C$100&gt;=BF7),1),""),20),
   IF(COUNTA(A7:K7)&gt;=1,
      MAX(IFERROR(_xlfn.AGGREGATE(15,6,DISJUNTORES!$C$2:$C$100/(DISJUNTORES!$C$2:$C$100&gt;=BF7),1),""),16),
   IFERROR(_xlfn.AGGREGATE(15,6,DISJUNTORES!$C$2:$C$100/(DISJUNTORES!$C$2:$C$100&gt;=BF7),1),"")))))</f>
        <v>250</v>
      </c>
      <c r="BJ7" s="107" t="s">
        <v>232</v>
      </c>
      <c r="BK7" s="107"/>
      <c r="BL7" s="107"/>
      <c r="BM7" s="109">
        <f t="shared" si="2"/>
        <v>30000</v>
      </c>
      <c r="BN7" s="109" t="str">
        <f t="shared" si="3"/>
        <v/>
      </c>
      <c r="BO7" s="109" t="str">
        <f t="shared" si="4"/>
        <v/>
      </c>
      <c r="BP7" s="104" t="str" cm="1">
        <f t="array" ref="BP7">IFERROR(
    INDEX(
        IF(AV7="PVC", 'CAP CONDUÇÃO 70º'!$A:$A, 'CAP CONDUÇÃO 90º'!$A:$A),
        IF(
            COUNTIF(
                IF(AV7="PVC",
                   CHOOSE(
                       MATCH(AU7,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BI7
            ) &gt; 0,
            MATCH(BI7,
                IF(AV7="PVC",
                   CHOOSE(
                       MATCH(AU7,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MATCH(BI7,
                IF(AV7="PVC",
                   CHOOSE(
                       MATCH(AU7,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7" s="166"/>
      <c r="BR7" s="166"/>
      <c r="BS7" s="165" t="str">
        <f ca="1">IFERROR(IF(BP7="","","3F#"&amp;BR7&amp;"mm²+N"&amp;VLOOKUP($BR$5,NEUTRO!$A:$B,2,0)&amp;"mm²+T"&amp;VLOOKUP($BR$5,TERRA!$A:$B,2,0)&amp;"mm²"),"")</f>
        <v/>
      </c>
      <c r="BT7" s="110"/>
      <c r="BU7" s="2"/>
    </row>
    <row r="8" spans="1:73" ht="36.5" thickBot="1" x14ac:dyDescent="0.4">
      <c r="A8" s="106">
        <v>4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>
        <v>4</v>
      </c>
      <c r="AO8" s="107"/>
      <c r="AP8" s="101" t="str">
        <f>IF(SUMPRODUCT(B8:AO8, B$4:AO$4)=0, "", SUMPRODUCT(B8:AO8, B$4:AO$4))</f>
        <v/>
      </c>
      <c r="AQ8" s="108" t="str">
        <f t="shared" si="0"/>
        <v/>
      </c>
      <c r="AR8" s="109" t="str">
        <f t="shared" si="5"/>
        <v/>
      </c>
      <c r="AS8" s="107"/>
      <c r="AT8" s="170"/>
      <c r="AU8" s="107"/>
      <c r="AV8" s="107"/>
      <c r="AW8" s="107"/>
      <c r="AX8" s="107"/>
      <c r="AY8" s="172" t="s">
        <v>278</v>
      </c>
      <c r="AZ8" s="172" t="s">
        <v>262</v>
      </c>
      <c r="BA8" s="172" t="e">
        <f>INDEX(AGRUPAMENTO!C6:N10,MATCH(AY8,AGRUPAMENTO!B6:B10,0),MATCH(AZ8,AGRUPAMENTO!C5:N5,0))</f>
        <v>#N/A</v>
      </c>
      <c r="BB8" s="174" t="s">
        <v>254</v>
      </c>
      <c r="BC8" s="176">
        <v>30</v>
      </c>
      <c r="BD8" s="172">
        <f>IF(BB8="SUBTERRÂNEA",IF(AV8="PVC",VLOOKUP(BC8,TEMPERATURA!G5:H19,2,0),VLOOKUP(BC8,TEMPERATURA!G5:I19,3,0)),IF(AV8="PVC",VLOOKUP(BC8,TEMPERATURA!B5:C19,2,0),VLOOKUP(BC8,TEMPERATURA!B5:D19,3,0)))</f>
        <v>1</v>
      </c>
      <c r="BE8" s="102" t="str">
        <f t="shared" si="6"/>
        <v/>
      </c>
      <c r="BF8" s="108" t="str">
        <f t="shared" si="1"/>
        <v/>
      </c>
      <c r="BG8" s="102" t="e">
        <f t="shared" si="7"/>
        <v>#VALUE!</v>
      </c>
      <c r="BH8" s="108">
        <f t="shared" si="8"/>
        <v>1</v>
      </c>
      <c r="BI8" s="173" t="str">
        <f>IF(AP8="","",
   IF(COUNTA(V8:AE8)&gt;=1,
      MAX(IFERROR(_xlfn.AGGREGATE(15,6,DISJUNTORES!$C$2:$C$100/(DISJUNTORES!$C$2:$C$100&gt;=BF8),1),""),25),
   IF(COUNTA(L8:U8)&gt;=1,
      MAX(IFERROR(_xlfn.AGGREGATE(15,6,DISJUNTORES!$C$2:$C$100/(DISJUNTORES!$C$2:$C$100&gt;=BF8),1),""),20),
   IF(COUNTA(A8:K8)&gt;=1,
      MAX(IFERROR(_xlfn.AGGREGATE(15,6,DISJUNTORES!$C$2:$C$100/(DISJUNTORES!$C$2:$C$100&gt;=BF8),1),""),16),
   IFERROR(_xlfn.AGGREGATE(15,6,DISJUNTORES!$C$2:$C$100/(DISJUNTORES!$C$2:$C$100&gt;=BF8),1),"")))))</f>
        <v/>
      </c>
      <c r="BJ8" s="107" t="s">
        <v>232</v>
      </c>
      <c r="BK8" s="107"/>
      <c r="BL8" s="107"/>
      <c r="BM8" s="109" t="e">
        <f t="shared" si="2"/>
        <v>#VALUE!</v>
      </c>
      <c r="BN8" s="109" t="str">
        <f t="shared" si="3"/>
        <v/>
      </c>
      <c r="BO8" s="109" t="str">
        <f t="shared" si="4"/>
        <v/>
      </c>
      <c r="BP8" s="104" t="str" cm="1">
        <f t="array" ref="BP8">IFERROR(
    INDEX(
        IF(AV8="PVC", 'CAP CONDUÇÃO 70º'!$A:$A, 'CAP CONDUÇÃO 90º'!$A:$A),
        IF(
            COUNTIF(
                IF(AV8="PVC",
                   CHOOSE(
                       MATCH(AU8,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BI8
            ) &gt; 0,
            MATCH(BI8,
                IF(AV8="PVC",
                   CHOOSE(
                       MATCH(AU8,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MATCH(BI8,
                IF(AV8="PVC",
                   CHOOSE(
                       MATCH(AU8,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8" s="166"/>
      <c r="BR8" s="166"/>
      <c r="BS8" s="165" t="str">
        <f ca="1">IFERROR(IF(BP8="","","3F#"&amp;BR8&amp;"mm²+N"&amp;VLOOKUP($BR$5,NEUTRO!$A:$B,2,0)&amp;"mm²+T"&amp;VLOOKUP($BR$5,TERRA!$A:$B,2,0)&amp;"mm²"),"")</f>
        <v/>
      </c>
      <c r="BT8" s="110"/>
      <c r="BU8" s="2"/>
    </row>
    <row r="9" spans="1:73" ht="36.5" hidden="1" thickBot="1" x14ac:dyDescent="0.4">
      <c r="A9" s="106">
        <v>5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1" t="str">
        <f t="shared" ref="AP9:AP69" si="9">IF(SUMPRODUCT(B9:AO9, B$4:AO$4)=0, "", SUMPRODUCT(B9:AO9, B$4:AO$4))</f>
        <v/>
      </c>
      <c r="AQ9" s="108" t="str">
        <f t="shared" si="0"/>
        <v/>
      </c>
      <c r="AR9" s="109" t="str">
        <f t="shared" si="5"/>
        <v/>
      </c>
      <c r="AS9" s="107"/>
      <c r="AT9" s="170"/>
      <c r="AU9" s="107"/>
      <c r="AV9" s="107"/>
      <c r="AW9" s="107"/>
      <c r="AX9" s="107"/>
      <c r="AY9" s="172" t="s">
        <v>278</v>
      </c>
      <c r="AZ9" s="172" t="s">
        <v>262</v>
      </c>
      <c r="BA9" s="172" t="e">
        <f>INDEX(AGRUPAMENTO!C7:N11,MATCH(AY9,AGRUPAMENTO!B7:B11,0),MATCH(AZ9,AGRUPAMENTO!C6:N6,0))</f>
        <v>#N/A</v>
      </c>
      <c r="BB9" s="174" t="s">
        <v>254</v>
      </c>
      <c r="BC9" s="176">
        <v>30</v>
      </c>
      <c r="BD9" s="172">
        <f>IF(BB9="SUBTERRÂNEA",IF(AV9="PVC",VLOOKUP(BC9,TEMPERATURA!G6:H20,2,0),VLOOKUP(BC9,TEMPERATURA!G6:I20,3,0)),IF(AV9="PVC",VLOOKUP(BC9,TEMPERATURA!B6:C20,2,0),VLOOKUP(BC9,TEMPERATURA!B6:D20,3,0)))</f>
        <v>1</v>
      </c>
      <c r="BE9" s="102" t="str">
        <f t="shared" si="6"/>
        <v/>
      </c>
      <c r="BF9" s="108" t="str">
        <f t="shared" si="1"/>
        <v/>
      </c>
      <c r="BG9" s="102" t="e">
        <f t="shared" si="7"/>
        <v>#VALUE!</v>
      </c>
      <c r="BH9" s="108" t="str">
        <f t="shared" si="8"/>
        <v/>
      </c>
      <c r="BI9" s="173" t="str">
        <f>IF(AP9="","",
   IF(COUNTA(V9:AE9)&gt;=1,
      MAX(IFERROR(_xlfn.AGGREGATE(15,6,DISJUNTORES!$C$2:$C$100/(DISJUNTORES!$C$2:$C$100&gt;=BF9),1),""),25),
   IF(COUNTA(L9:U9)&gt;=1,
      MAX(IFERROR(_xlfn.AGGREGATE(15,6,DISJUNTORES!$C$2:$C$100/(DISJUNTORES!$C$2:$C$100&gt;=BF9),1),""),20),
   IF(COUNTA(A9:K9)&gt;=1,
      MAX(IFERROR(_xlfn.AGGREGATE(15,6,DISJUNTORES!$C$2:$C$100/(DISJUNTORES!$C$2:$C$100&gt;=BF9),1),""),16),
   IFERROR(_xlfn.AGGREGATE(15,6,DISJUNTORES!$C$2:$C$100/(DISJUNTORES!$C$2:$C$100&gt;=BF9),1),"")))))</f>
        <v/>
      </c>
      <c r="BJ9" s="107"/>
      <c r="BK9" s="107"/>
      <c r="BL9" s="107"/>
      <c r="BM9" s="109" t="str">
        <f t="shared" si="2"/>
        <v/>
      </c>
      <c r="BN9" s="109" t="str">
        <f t="shared" si="3"/>
        <v/>
      </c>
      <c r="BO9" s="109" t="str">
        <f t="shared" si="4"/>
        <v/>
      </c>
      <c r="BP9" s="104" t="str" cm="1">
        <f t="array" ref="BP9">IFERROR(
    INDEX(
        IF(AV9="PVC", 'CAP CONDUÇÃO 70º'!$A:$A, 'CAP CONDUÇÃO 90º'!$A:$A),
        IF(
            COUNTIF(
                IF(AV9="PVC",
                   CHOOSE(
                       MATCH(AU9,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BI9
            ) &gt; 0,
            MATCH(BI9,
                IF(AV9="PVC",
                   CHOOSE(
                       MATCH(AU9,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MATCH(BI9,
                IF(AV9="PVC",
                   CHOOSE(
                       MATCH(AU9,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9" s="166"/>
      <c r="BR9" s="166"/>
      <c r="BS9" s="165" t="str">
        <f ca="1">IFERROR(IF(BP9="","","3F#"&amp;BR9&amp;"mm²+N"&amp;VLOOKUP($BR$5,NEUTRO!$A:$B,2,0)&amp;"mm²+T"&amp;VLOOKUP($BR$5,TERRA!$A:$B,2,0)&amp;"mm²"),"")</f>
        <v/>
      </c>
      <c r="BT9" s="110"/>
      <c r="BU9" s="2"/>
    </row>
    <row r="10" spans="1:73" ht="36.5" hidden="1" thickBot="1" x14ac:dyDescent="0.4">
      <c r="A10" s="106">
        <v>6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1" t="str">
        <f t="shared" si="9"/>
        <v/>
      </c>
      <c r="AQ10" s="108" t="str">
        <f t="shared" si="0"/>
        <v/>
      </c>
      <c r="AR10" s="109" t="str">
        <f t="shared" si="5"/>
        <v/>
      </c>
      <c r="AS10" s="107"/>
      <c r="AT10" s="170"/>
      <c r="AU10" s="107"/>
      <c r="AV10" s="107"/>
      <c r="AW10" s="107"/>
      <c r="AX10" s="107"/>
      <c r="AY10" s="172" t="s">
        <v>278</v>
      </c>
      <c r="AZ10" s="172" t="s">
        <v>262</v>
      </c>
      <c r="BA10" s="172" t="e">
        <f>INDEX(AGRUPAMENTO!C8:N12,MATCH(AY10,AGRUPAMENTO!B8:B12,0),MATCH(AZ10,AGRUPAMENTO!C7:N7,0))</f>
        <v>#N/A</v>
      </c>
      <c r="BB10" s="174" t="s">
        <v>254</v>
      </c>
      <c r="BC10" s="176">
        <v>30</v>
      </c>
      <c r="BD10" s="172" t="e">
        <f>IF(BB10="SUBTERRÂNEA",IF(AV10="PVC",VLOOKUP(BC10,TEMPERATURA!G7:H21,2,0),VLOOKUP(BC10,TEMPERATURA!G7:I21,3,0)),IF(AV10="PVC",VLOOKUP(BC10,TEMPERATURA!B7:C21,2,0),VLOOKUP(BC10,TEMPERATURA!B7:D21,3,0)))</f>
        <v>#N/A</v>
      </c>
      <c r="BE10" s="102" t="str">
        <f t="shared" si="6"/>
        <v/>
      </c>
      <c r="BF10" s="108" t="str">
        <f t="shared" si="1"/>
        <v/>
      </c>
      <c r="BG10" s="102" t="e">
        <f t="shared" si="7"/>
        <v>#VALUE!</v>
      </c>
      <c r="BH10" s="108" t="str">
        <f t="shared" si="8"/>
        <v/>
      </c>
      <c r="BI10" s="173" t="str">
        <f>IF(AP10="","",
   IF(COUNTA(V10:AE10)&gt;=1,
      MAX(IFERROR(_xlfn.AGGREGATE(15,6,DISJUNTORES!$C$2:$C$100/(DISJUNTORES!$C$2:$C$100&gt;=BF10),1),""),25),
   IF(COUNTA(L10:U10)&gt;=1,
      MAX(IFERROR(_xlfn.AGGREGATE(15,6,DISJUNTORES!$C$2:$C$100/(DISJUNTORES!$C$2:$C$100&gt;=BF10),1),""),20),
   IF(COUNTA(A10:K10)&gt;=1,
      MAX(IFERROR(_xlfn.AGGREGATE(15,6,DISJUNTORES!$C$2:$C$100/(DISJUNTORES!$C$2:$C$100&gt;=BF10),1),""),16),
   IFERROR(_xlfn.AGGREGATE(15,6,DISJUNTORES!$C$2:$C$100/(DISJUNTORES!$C$2:$C$100&gt;=BF10),1),"")))))</f>
        <v/>
      </c>
      <c r="BJ10" s="107"/>
      <c r="BK10" s="107"/>
      <c r="BL10" s="107"/>
      <c r="BM10" s="109" t="str">
        <f t="shared" si="2"/>
        <v/>
      </c>
      <c r="BN10" s="109" t="str">
        <f t="shared" si="3"/>
        <v/>
      </c>
      <c r="BO10" s="109" t="str">
        <f t="shared" si="4"/>
        <v/>
      </c>
      <c r="BP10" s="104" t="str" cm="1">
        <f t="array" ref="BP10">IFERROR(
    INDEX(
        IF(AV10="PVC", 'CAP CONDUÇÃO 70º'!$A:$A, 'CAP CONDUÇÃO 90º'!$A:$A),
        IF(
            COUNTIF(
                IF(AV10="PVC",
                   CHOOSE(
                       MATCH(AU10,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MATCH(AU10,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BI10
            ) &gt; 0,
            MATCH(BI10,
                IF(AV10="PVC",
                   CHOOSE(
                       MATCH(AU10,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MATCH(AU10,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MATCH(BI10,
                IF(AV10="PVC",
                   CHOOSE(
                       MATCH(AU10,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MATCH(AU10,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10" s="166"/>
      <c r="BR10" s="166"/>
      <c r="BS10" s="165" t="str">
        <f ca="1">IFERROR(IF(BP10="","","3F#"&amp;BR10&amp;"mm²+N"&amp;VLOOKUP($BR$5,NEUTRO!$A:$B,2,0)&amp;"mm²+T"&amp;VLOOKUP($BR$5,TERRA!$A:$B,2,0)&amp;"mm²"),"")</f>
        <v/>
      </c>
      <c r="BT10" s="110"/>
      <c r="BU10" s="2"/>
    </row>
    <row r="11" spans="1:73" ht="36.5" hidden="1" thickBot="1" x14ac:dyDescent="0.4">
      <c r="A11" s="106">
        <v>7</v>
      </c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1" t="str">
        <f t="shared" si="9"/>
        <v/>
      </c>
      <c r="AQ11" s="108" t="str">
        <f t="shared" si="0"/>
        <v/>
      </c>
      <c r="AR11" s="109" t="str">
        <f t="shared" si="5"/>
        <v/>
      </c>
      <c r="AS11" s="107"/>
      <c r="AT11" s="170"/>
      <c r="AU11" s="107"/>
      <c r="AV11" s="107"/>
      <c r="AW11" s="107"/>
      <c r="AX11" s="107"/>
      <c r="AY11" s="172" t="s">
        <v>278</v>
      </c>
      <c r="AZ11" s="172" t="s">
        <v>262</v>
      </c>
      <c r="BA11" s="172" t="e">
        <f>INDEX(AGRUPAMENTO!C9:N13,MATCH(AY11,AGRUPAMENTO!B9:B13,0),MATCH(AZ11,AGRUPAMENTO!C8:N8,0))</f>
        <v>#N/A</v>
      </c>
      <c r="BB11" s="174" t="s">
        <v>254</v>
      </c>
      <c r="BC11" s="176">
        <v>30</v>
      </c>
      <c r="BD11" s="172" t="e">
        <f>IF(BB11="SUBTERRÂNEA",IF(AV11="PVC",VLOOKUP(BC11,TEMPERATURA!G8:H22,2,0),VLOOKUP(BC11,TEMPERATURA!G8:I22,3,0)),IF(AV11="PVC",VLOOKUP(BC11,TEMPERATURA!B8:C22,2,0),VLOOKUP(BC11,TEMPERATURA!B8:D22,3,0)))</f>
        <v>#N/A</v>
      </c>
      <c r="BE11" s="102" t="str">
        <f t="shared" si="6"/>
        <v/>
      </c>
      <c r="BF11" s="108" t="str">
        <f t="shared" si="1"/>
        <v/>
      </c>
      <c r="BG11" s="102" t="e">
        <f t="shared" si="7"/>
        <v>#VALUE!</v>
      </c>
      <c r="BH11" s="108" t="str">
        <f t="shared" si="8"/>
        <v/>
      </c>
      <c r="BI11" s="173" t="str">
        <f>IF(AP11="","",
   IF(COUNTA(V11:AE11)&gt;=1,
      MAX(IFERROR(_xlfn.AGGREGATE(15,6,DISJUNTORES!$C$2:$C$100/(DISJUNTORES!$C$2:$C$100&gt;=BF11),1),""),25),
   IF(COUNTA(L11:U11)&gt;=1,
      MAX(IFERROR(_xlfn.AGGREGATE(15,6,DISJUNTORES!$C$2:$C$100/(DISJUNTORES!$C$2:$C$100&gt;=BF11),1),""),20),
   IF(COUNTA(A11:K11)&gt;=1,
      MAX(IFERROR(_xlfn.AGGREGATE(15,6,DISJUNTORES!$C$2:$C$100/(DISJUNTORES!$C$2:$C$100&gt;=BF11),1),""),16),
   IFERROR(_xlfn.AGGREGATE(15,6,DISJUNTORES!$C$2:$C$100/(DISJUNTORES!$C$2:$C$100&gt;=BF11),1),"")))))</f>
        <v/>
      </c>
      <c r="BJ11" s="107"/>
      <c r="BK11" s="107"/>
      <c r="BL11" s="107"/>
      <c r="BM11" s="109" t="str">
        <f t="shared" si="2"/>
        <v/>
      </c>
      <c r="BN11" s="109" t="str">
        <f t="shared" si="3"/>
        <v/>
      </c>
      <c r="BO11" s="109" t="str">
        <f t="shared" si="4"/>
        <v/>
      </c>
      <c r="BP11" s="104" t="str" cm="1">
        <f t="array" ref="BP11">IFERROR(
    INDEX(
        IF(AV11="PVC", 'CAP CONDUÇÃO 70º'!$A:$A, 'CAP CONDUÇÃO 90º'!$A:$A),
        IF(
            COUNTIF(
                IF(AV11="PVC",
                   CHOOSE(
                       MATCH(AU11,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MATCH(AU11,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BI11
            ) &gt; 0,
            MATCH(BI11,
                IF(AV11="PVC",
                   CHOOSE(
                       MATCH(AU11,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MATCH(AU11,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MATCH(BI11,
                IF(AV11="PVC",
                   CHOOSE(
                       MATCH(AU11,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MATCH(AU11,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11" s="166"/>
      <c r="BR11" s="166"/>
      <c r="BS11" s="165" t="str">
        <f ca="1">IFERROR(IF(BP11="","","3F#"&amp;BR11&amp;"mm²+N"&amp;VLOOKUP($BR$5,NEUTRO!$A:$B,2,0)&amp;"mm²+T"&amp;VLOOKUP($BR$5,TERRA!$A:$B,2,0)&amp;"mm²"),"")</f>
        <v/>
      </c>
      <c r="BT11" s="110"/>
      <c r="BU11" s="2"/>
    </row>
    <row r="12" spans="1:73" ht="36.5" hidden="1" thickBot="1" x14ac:dyDescent="0.4">
      <c r="A12" s="106">
        <v>8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1" t="str">
        <f t="shared" si="9"/>
        <v/>
      </c>
      <c r="AQ12" s="108" t="str">
        <f t="shared" si="0"/>
        <v/>
      </c>
      <c r="AR12" s="109" t="str">
        <f t="shared" si="5"/>
        <v/>
      </c>
      <c r="AS12" s="107"/>
      <c r="AT12" s="170"/>
      <c r="AU12" s="107"/>
      <c r="AV12" s="107"/>
      <c r="AW12" s="107"/>
      <c r="AX12" s="107"/>
      <c r="AY12" s="172" t="s">
        <v>278</v>
      </c>
      <c r="AZ12" s="172" t="s">
        <v>262</v>
      </c>
      <c r="BA12" s="172" t="e">
        <f>INDEX(AGRUPAMENTO!C10:N14,MATCH(AY12,AGRUPAMENTO!B10:B14,0),MATCH(AZ12,AGRUPAMENTO!C9:N9,0))</f>
        <v>#N/A</v>
      </c>
      <c r="BB12" s="174" t="s">
        <v>254</v>
      </c>
      <c r="BC12" s="176">
        <v>30</v>
      </c>
      <c r="BD12" s="172" t="e">
        <f>IF(BB12="SUBTERRÂNEA",IF(AV12="PVC",VLOOKUP(BC12,TEMPERATURA!G9:H23,2,0),VLOOKUP(BC12,TEMPERATURA!G9:I23,3,0)),IF(AV12="PVC",VLOOKUP(BC12,TEMPERATURA!B9:C23,2,0),VLOOKUP(BC12,TEMPERATURA!B9:D23,3,0)))</f>
        <v>#N/A</v>
      </c>
      <c r="BE12" s="102" t="str">
        <f t="shared" si="6"/>
        <v/>
      </c>
      <c r="BF12" s="108" t="str">
        <f t="shared" si="1"/>
        <v/>
      </c>
      <c r="BG12" s="102" t="e">
        <f t="shared" si="7"/>
        <v>#VALUE!</v>
      </c>
      <c r="BH12" s="108" t="str">
        <f t="shared" si="8"/>
        <v/>
      </c>
      <c r="BI12" s="173" t="str">
        <f>IF(AP12="","",
   IF(COUNTA(V12:AE12)&gt;=1,
      MAX(IFERROR(_xlfn.AGGREGATE(15,6,DISJUNTORES!$C$2:$C$100/(DISJUNTORES!$C$2:$C$100&gt;=BF12),1),""),25),
   IF(COUNTA(L12:U12)&gt;=1,
      MAX(IFERROR(_xlfn.AGGREGATE(15,6,DISJUNTORES!$C$2:$C$100/(DISJUNTORES!$C$2:$C$100&gt;=BF12),1),""),20),
   IF(COUNTA(A12:K12)&gt;=1,
      MAX(IFERROR(_xlfn.AGGREGATE(15,6,DISJUNTORES!$C$2:$C$100/(DISJUNTORES!$C$2:$C$100&gt;=BF12),1),""),16),
   IFERROR(_xlfn.AGGREGATE(15,6,DISJUNTORES!$C$2:$C$100/(DISJUNTORES!$C$2:$C$100&gt;=BF12),1),"")))))</f>
        <v/>
      </c>
      <c r="BJ12" s="107"/>
      <c r="BK12" s="107"/>
      <c r="BL12" s="107"/>
      <c r="BM12" s="109" t="str">
        <f t="shared" si="2"/>
        <v/>
      </c>
      <c r="BN12" s="109" t="str">
        <f t="shared" si="3"/>
        <v/>
      </c>
      <c r="BO12" s="109" t="str">
        <f t="shared" si="4"/>
        <v/>
      </c>
      <c r="BP12" s="104" t="str" cm="1">
        <f t="array" ref="BP12">IFERROR(
    INDEX(
        IF(AV12="PVC", 'CAP CONDUÇÃO 70º'!$A:$A, 'CAP CONDUÇÃO 90º'!$A:$A),
        IF(
            COUNTIF(
                IF(AV12="PVC",
                   CHOOSE(
                       MATCH(AU12,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MATCH(AU12,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BI12
            ) &gt; 0,
            MATCH(BI12,
                IF(AV12="PVC",
                   CHOOSE(
                       MATCH(AU12,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MATCH(AU12,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MATCH(BI12,
                IF(AV12="PVC",
                   CHOOSE(
                       MATCH(AU12,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MATCH(AU12,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12" s="166"/>
      <c r="BR12" s="166"/>
      <c r="BS12" s="165" t="str">
        <f ca="1">IFERROR(IF(BP12="","","3F#"&amp;BR12&amp;"mm²+N"&amp;VLOOKUP($BR$5,NEUTRO!$A:$B,2,0)&amp;"mm²+T"&amp;VLOOKUP($BR$5,TERRA!$A:$B,2,0)&amp;"mm²"),"")</f>
        <v/>
      </c>
      <c r="BT12" s="110"/>
      <c r="BU12" s="2"/>
    </row>
    <row r="13" spans="1:73" ht="36.5" hidden="1" thickBot="1" x14ac:dyDescent="0.4">
      <c r="A13" s="106">
        <v>9</v>
      </c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1" t="str">
        <f t="shared" si="9"/>
        <v/>
      </c>
      <c r="AQ13" s="108" t="str">
        <f t="shared" si="0"/>
        <v/>
      </c>
      <c r="AR13" s="109" t="str">
        <f t="shared" si="5"/>
        <v/>
      </c>
      <c r="AS13" s="107"/>
      <c r="AT13" s="170"/>
      <c r="AU13" s="107"/>
      <c r="AV13" s="107"/>
      <c r="AW13" s="107"/>
      <c r="AX13" s="107"/>
      <c r="AY13" s="172" t="s">
        <v>278</v>
      </c>
      <c r="AZ13" s="172" t="s">
        <v>262</v>
      </c>
      <c r="BA13" s="172" t="e">
        <f>INDEX(AGRUPAMENTO!C11:N15,MATCH(AY13,AGRUPAMENTO!B11:B15,0),MATCH(AZ13,AGRUPAMENTO!C10:N10,0))</f>
        <v>#N/A</v>
      </c>
      <c r="BB13" s="174" t="s">
        <v>254</v>
      </c>
      <c r="BC13" s="176">
        <v>30</v>
      </c>
      <c r="BD13" s="172" t="e">
        <f>IF(BB13="SUBTERRÂNEA",IF(AV13="PVC",VLOOKUP(BC13,TEMPERATURA!G10:H24,2,0),VLOOKUP(BC13,TEMPERATURA!G10:I24,3,0)),IF(AV13="PVC",VLOOKUP(BC13,TEMPERATURA!B10:C24,2,0),VLOOKUP(BC13,TEMPERATURA!B10:D24,3,0)))</f>
        <v>#N/A</v>
      </c>
      <c r="BE13" s="102" t="str">
        <f t="shared" si="6"/>
        <v/>
      </c>
      <c r="BF13" s="108" t="str">
        <f t="shared" si="1"/>
        <v/>
      </c>
      <c r="BG13" s="102" t="e">
        <f t="shared" si="7"/>
        <v>#VALUE!</v>
      </c>
      <c r="BH13" s="108" t="str">
        <f t="shared" si="8"/>
        <v/>
      </c>
      <c r="BI13" s="173" t="str">
        <f>IF(AP13="","",
   IF(COUNTA(V13:AE13)&gt;=1,
      MAX(IFERROR(_xlfn.AGGREGATE(15,6,DISJUNTORES!$C$2:$C$100/(DISJUNTORES!$C$2:$C$100&gt;=BF13),1),""),25),
   IF(COUNTA(L13:U13)&gt;=1,
      MAX(IFERROR(_xlfn.AGGREGATE(15,6,DISJUNTORES!$C$2:$C$100/(DISJUNTORES!$C$2:$C$100&gt;=BF13),1),""),20),
   IF(COUNTA(A13:K13)&gt;=1,
      MAX(IFERROR(_xlfn.AGGREGATE(15,6,DISJUNTORES!$C$2:$C$100/(DISJUNTORES!$C$2:$C$100&gt;=BF13),1),""),16),
   IFERROR(_xlfn.AGGREGATE(15,6,DISJUNTORES!$C$2:$C$100/(DISJUNTORES!$C$2:$C$100&gt;=BF13),1),"")))))</f>
        <v/>
      </c>
      <c r="BJ13" s="107"/>
      <c r="BK13" s="107"/>
      <c r="BL13" s="107"/>
      <c r="BM13" s="109" t="str">
        <f t="shared" si="2"/>
        <v/>
      </c>
      <c r="BN13" s="109" t="str">
        <f t="shared" si="3"/>
        <v/>
      </c>
      <c r="BO13" s="109" t="str">
        <f t="shared" si="4"/>
        <v/>
      </c>
      <c r="BP13" s="104" t="str" cm="1">
        <f t="array" ref="BP13">IFERROR(
    INDEX(
        IF(AV13="PVC", 'CAP CONDUÇÃO 70º'!$A:$A, 'CAP CONDUÇÃO 90º'!$A:$A),
        IF(
            COUNTIF(
                IF(AV13="PVC",
                   CHOOSE(
                       MATCH(AU13,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MATCH(AU13,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BI13
            ) &gt; 0,
            MATCH(BI13,
                IF(AV13="PVC",
                   CHOOSE(
                       MATCH(AU13,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MATCH(AU13,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MATCH(BI13,
                IF(AV13="PVC",
                   CHOOSE(
                       MATCH(AU13,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MATCH(AU13,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13" s="166"/>
      <c r="BR13" s="166"/>
      <c r="BS13" s="165" t="str">
        <f ca="1">IFERROR(IF(BP13="","","3F#"&amp;BR13&amp;"mm²+N"&amp;VLOOKUP($BR$5,NEUTRO!$A:$B,2,0)&amp;"mm²+T"&amp;VLOOKUP($BR$5,TERRA!$A:$B,2,0)&amp;"mm²"),"")</f>
        <v/>
      </c>
      <c r="BT13" s="110"/>
      <c r="BU13" s="2"/>
    </row>
    <row r="14" spans="1:73" ht="36.5" hidden="1" thickBot="1" x14ac:dyDescent="0.4">
      <c r="A14" s="106">
        <v>10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1" t="str">
        <f t="shared" si="9"/>
        <v/>
      </c>
      <c r="AQ14" s="108" t="str">
        <f t="shared" si="0"/>
        <v/>
      </c>
      <c r="AR14" s="109" t="str">
        <f t="shared" si="5"/>
        <v/>
      </c>
      <c r="AS14" s="107"/>
      <c r="AT14" s="170"/>
      <c r="AU14" s="107"/>
      <c r="AV14" s="107"/>
      <c r="AW14" s="107"/>
      <c r="AX14" s="107"/>
      <c r="AY14" s="172" t="s">
        <v>278</v>
      </c>
      <c r="AZ14" s="172" t="s">
        <v>262</v>
      </c>
      <c r="BA14" s="172" t="e">
        <f>INDEX(AGRUPAMENTO!C12:N16,MATCH(AY14,AGRUPAMENTO!B12:B16,0),MATCH(AZ14,AGRUPAMENTO!C11:N11,0))</f>
        <v>#N/A</v>
      </c>
      <c r="BB14" s="174" t="s">
        <v>254</v>
      </c>
      <c r="BC14" s="176">
        <v>30</v>
      </c>
      <c r="BD14" s="172" t="e">
        <f>IF(BB14="SUBTERRÂNEA",IF(AV14="PVC",VLOOKUP(BC14,TEMPERATURA!G11:H25,2,0),VLOOKUP(BC14,TEMPERATURA!G11:I25,3,0)),IF(AV14="PVC",VLOOKUP(BC14,TEMPERATURA!B11:C25,2,0),VLOOKUP(BC14,TEMPERATURA!B11:D25,3,0)))</f>
        <v>#N/A</v>
      </c>
      <c r="BE14" s="102" t="str">
        <f t="shared" si="6"/>
        <v/>
      </c>
      <c r="BF14" s="108" t="str">
        <f t="shared" si="1"/>
        <v/>
      </c>
      <c r="BG14" s="102" t="e">
        <f t="shared" si="7"/>
        <v>#VALUE!</v>
      </c>
      <c r="BH14" s="108" t="str">
        <f t="shared" si="8"/>
        <v/>
      </c>
      <c r="BI14" s="173" t="str">
        <f>IF(AP14="","",
   IF(COUNTA(V14:AE14)&gt;=1,
      MAX(IFERROR(_xlfn.AGGREGATE(15,6,DISJUNTORES!$C$2:$C$100/(DISJUNTORES!$C$2:$C$100&gt;=BF14),1),""),25),
   IF(COUNTA(L14:U14)&gt;=1,
      MAX(IFERROR(_xlfn.AGGREGATE(15,6,DISJUNTORES!$C$2:$C$100/(DISJUNTORES!$C$2:$C$100&gt;=BF14),1),""),20),
   IF(COUNTA(A14:K14)&gt;=1,
      MAX(IFERROR(_xlfn.AGGREGATE(15,6,DISJUNTORES!$C$2:$C$100/(DISJUNTORES!$C$2:$C$100&gt;=BF14),1),""),16),
   IFERROR(_xlfn.AGGREGATE(15,6,DISJUNTORES!$C$2:$C$100/(DISJUNTORES!$C$2:$C$100&gt;=BF14),1),"")))))</f>
        <v/>
      </c>
      <c r="BJ14" s="107"/>
      <c r="BK14" s="107"/>
      <c r="BL14" s="107"/>
      <c r="BM14" s="109" t="str">
        <f t="shared" si="2"/>
        <v/>
      </c>
      <c r="BN14" s="109" t="str">
        <f t="shared" si="3"/>
        <v/>
      </c>
      <c r="BO14" s="109" t="str">
        <f t="shared" si="4"/>
        <v/>
      </c>
      <c r="BP14" s="104" t="str" cm="1">
        <f t="array" ref="BP14">IFERROR(
    INDEX(
        IF(AV14="PVC", 'CAP CONDUÇÃO 70º'!$A:$A, 'CAP CONDUÇÃO 90º'!$A:$A),
        IF(
            COUNTIF(
                IF(AV14="PVC",
                   CHOOSE(
                       MATCH(AU14,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MATCH(AU14,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BI14
            ) &gt; 0,
            MATCH(BI14,
                IF(AV14="PVC",
                   CHOOSE(
                       MATCH(AU14,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MATCH(AU14,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MATCH(BI14,
                IF(AV14="PVC",
                   CHOOSE(
                       MATCH(AU14,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MATCH(AU14,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14" s="166"/>
      <c r="BR14" s="166"/>
      <c r="BS14" s="165" t="str">
        <f ca="1">IFERROR(IF(BP14="","","3F#"&amp;BR14&amp;"mm²+N"&amp;VLOOKUP($BR$5,NEUTRO!$A:$B,2,0)&amp;"mm²+T"&amp;VLOOKUP($BR$5,TERRA!$A:$B,2,0)&amp;"mm²"),"")</f>
        <v/>
      </c>
      <c r="BT14" s="110"/>
      <c r="BU14" s="2"/>
    </row>
    <row r="15" spans="1:73" ht="36.5" hidden="1" thickBot="1" x14ac:dyDescent="0.4">
      <c r="A15" s="106">
        <v>11</v>
      </c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1" t="str">
        <f t="shared" si="9"/>
        <v/>
      </c>
      <c r="AQ15" s="108" t="str">
        <f t="shared" si="0"/>
        <v/>
      </c>
      <c r="AR15" s="109" t="str">
        <f t="shared" si="5"/>
        <v/>
      </c>
      <c r="AS15" s="107"/>
      <c r="AT15" s="170"/>
      <c r="AU15" s="107"/>
      <c r="AV15" s="107"/>
      <c r="AW15" s="107"/>
      <c r="AX15" s="107"/>
      <c r="AY15" s="172" t="s">
        <v>278</v>
      </c>
      <c r="AZ15" s="172" t="s">
        <v>262</v>
      </c>
      <c r="BA15" s="172" t="e">
        <f>INDEX(AGRUPAMENTO!C13:N17,MATCH(AY15,AGRUPAMENTO!B13:B17,0),MATCH(AZ15,AGRUPAMENTO!C12:N12,0))</f>
        <v>#N/A</v>
      </c>
      <c r="BB15" s="174" t="s">
        <v>254</v>
      </c>
      <c r="BC15" s="176">
        <v>30</v>
      </c>
      <c r="BD15" s="172" t="e">
        <f>IF(BB15="SUBTERRÂNEA",IF(AV15="PVC",VLOOKUP(BC15,TEMPERATURA!G12:H26,2,0),VLOOKUP(BC15,TEMPERATURA!G12:I26,3,0)),IF(AV15="PVC",VLOOKUP(BC15,TEMPERATURA!B12:C26,2,0),VLOOKUP(BC15,TEMPERATURA!B12:D26,3,0)))</f>
        <v>#N/A</v>
      </c>
      <c r="BE15" s="102" t="str">
        <f t="shared" si="6"/>
        <v/>
      </c>
      <c r="BF15" s="108" t="str">
        <f t="shared" si="1"/>
        <v/>
      </c>
      <c r="BG15" s="102" t="e">
        <f t="shared" si="7"/>
        <v>#VALUE!</v>
      </c>
      <c r="BH15" s="108" t="str">
        <f t="shared" si="8"/>
        <v/>
      </c>
      <c r="BI15" s="173" t="str">
        <f>IF(AP15="","",
   IF(COUNTA(V15:AE15)&gt;=1,
      MAX(IFERROR(_xlfn.AGGREGATE(15,6,DISJUNTORES!$C$2:$C$100/(DISJUNTORES!$C$2:$C$100&gt;=BF15),1),""),25),
   IF(COUNTA(L15:U15)&gt;=1,
      MAX(IFERROR(_xlfn.AGGREGATE(15,6,DISJUNTORES!$C$2:$C$100/(DISJUNTORES!$C$2:$C$100&gt;=BF15),1),""),20),
   IF(COUNTA(A15:K15)&gt;=1,
      MAX(IFERROR(_xlfn.AGGREGATE(15,6,DISJUNTORES!$C$2:$C$100/(DISJUNTORES!$C$2:$C$100&gt;=BF15),1),""),16),
   IFERROR(_xlfn.AGGREGATE(15,6,DISJUNTORES!$C$2:$C$100/(DISJUNTORES!$C$2:$C$100&gt;=BF15),1),"")))))</f>
        <v/>
      </c>
      <c r="BJ15" s="107"/>
      <c r="BK15" s="107"/>
      <c r="BL15" s="107"/>
      <c r="BM15" s="109" t="str">
        <f t="shared" si="2"/>
        <v/>
      </c>
      <c r="BN15" s="109" t="str">
        <f t="shared" si="3"/>
        <v/>
      </c>
      <c r="BO15" s="109" t="str">
        <f t="shared" si="4"/>
        <v/>
      </c>
      <c r="BP15" s="104" t="str" cm="1">
        <f t="array" ref="BP15">IFERROR(
    INDEX(
        IF(AV15="PVC", 'CAP CONDUÇÃO 70º'!$A:$A, 'CAP CONDUÇÃO 90º'!$A:$A),
        IF(
            COUNTIF(
                IF(AV15="PVC",
                   CHOOSE(
                       MATCH(AU15,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MATCH(AU15,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BI15
            ) &gt; 0,
            MATCH(BI15,
                IF(AV15="PVC",
                   CHOOSE(
                       MATCH(AU15,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MATCH(AU15,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MATCH(BI15,
                IF(AV15="PVC",
                   CHOOSE(
                       MATCH(AU15,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MATCH(AU15,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15" s="166"/>
      <c r="BR15" s="166"/>
      <c r="BS15" s="165" t="str">
        <f ca="1">IFERROR(IF(BP15="","","3F#"&amp;BR15&amp;"mm²+N"&amp;VLOOKUP($BR$5,NEUTRO!$A:$B,2,0)&amp;"mm²+T"&amp;VLOOKUP($BR$5,TERRA!$A:$B,2,0)&amp;"mm²"),"")</f>
        <v/>
      </c>
      <c r="BT15" s="110"/>
      <c r="BU15" s="2"/>
    </row>
    <row r="16" spans="1:73" ht="36.5" hidden="1" thickBot="1" x14ac:dyDescent="0.4">
      <c r="A16" s="106">
        <v>12</v>
      </c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1" t="str">
        <f t="shared" si="9"/>
        <v/>
      </c>
      <c r="AQ16" s="108" t="str">
        <f t="shared" si="0"/>
        <v/>
      </c>
      <c r="AR16" s="109" t="str">
        <f t="shared" si="5"/>
        <v/>
      </c>
      <c r="AS16" s="107"/>
      <c r="AT16" s="170"/>
      <c r="AU16" s="107"/>
      <c r="AV16" s="107"/>
      <c r="AW16" s="107"/>
      <c r="AX16" s="107"/>
      <c r="AY16" s="172" t="s">
        <v>278</v>
      </c>
      <c r="AZ16" s="172" t="s">
        <v>262</v>
      </c>
      <c r="BA16" s="172" t="e">
        <f>INDEX(AGRUPAMENTO!C14:N18,MATCH(AY16,AGRUPAMENTO!B14:B18,0),MATCH(AZ16,AGRUPAMENTO!C13:N13,0))</f>
        <v>#N/A</v>
      </c>
      <c r="BB16" s="174" t="s">
        <v>254</v>
      </c>
      <c r="BC16" s="176">
        <v>30</v>
      </c>
      <c r="BD16" s="172" t="e">
        <f>IF(BB16="SUBTERRÂNEA",IF(AV16="PVC",VLOOKUP(BC16,TEMPERATURA!G13:H27,2,0),VLOOKUP(BC16,TEMPERATURA!G13:I27,3,0)),IF(AV16="PVC",VLOOKUP(BC16,TEMPERATURA!B13:C27,2,0),VLOOKUP(BC16,TEMPERATURA!B13:D27,3,0)))</f>
        <v>#N/A</v>
      </c>
      <c r="BE16" s="102" t="str">
        <f t="shared" si="6"/>
        <v/>
      </c>
      <c r="BF16" s="108" t="str">
        <f t="shared" si="1"/>
        <v/>
      </c>
      <c r="BG16" s="102" t="e">
        <f t="shared" si="7"/>
        <v>#VALUE!</v>
      </c>
      <c r="BH16" s="108" t="str">
        <f t="shared" si="8"/>
        <v/>
      </c>
      <c r="BI16" s="173" t="str">
        <f>IF(AP16="","",
   IF(COUNTA(V16:AE16)&gt;=1,
      MAX(IFERROR(_xlfn.AGGREGATE(15,6,DISJUNTORES!$C$2:$C$100/(DISJUNTORES!$C$2:$C$100&gt;=BF16),1),""),25),
   IF(COUNTA(L16:U16)&gt;=1,
      MAX(IFERROR(_xlfn.AGGREGATE(15,6,DISJUNTORES!$C$2:$C$100/(DISJUNTORES!$C$2:$C$100&gt;=BF16),1),""),20),
   IF(COUNTA(A16:K16)&gt;=1,
      MAX(IFERROR(_xlfn.AGGREGATE(15,6,DISJUNTORES!$C$2:$C$100/(DISJUNTORES!$C$2:$C$100&gt;=BF16),1),""),16),
   IFERROR(_xlfn.AGGREGATE(15,6,DISJUNTORES!$C$2:$C$100/(DISJUNTORES!$C$2:$C$100&gt;=BF16),1),"")))))</f>
        <v/>
      </c>
      <c r="BJ16" s="107"/>
      <c r="BK16" s="107"/>
      <c r="BL16" s="107"/>
      <c r="BM16" s="109" t="str">
        <f t="shared" si="2"/>
        <v/>
      </c>
      <c r="BN16" s="109" t="str">
        <f t="shared" si="3"/>
        <v/>
      </c>
      <c r="BO16" s="109" t="str">
        <f t="shared" si="4"/>
        <v/>
      </c>
      <c r="BP16" s="104" t="str" cm="1">
        <f t="array" ref="BP16">IFERROR(
    INDEX(
        IF(AV16="PVC", 'CAP CONDUÇÃO 70º'!$A:$A, 'CAP CONDUÇÃO 90º'!$A:$A),
        IF(
            COUNTIF(
                IF(AV16="PVC",
                   CHOOSE(
                       MATCH(AU16,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MATCH(AU16,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BI16
            ) &gt; 0,
            MATCH(BI16,
                IF(AV16="PVC",
                   CHOOSE(
                       MATCH(AU16,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MATCH(AU16,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MATCH(BI16,
                IF(AV16="PVC",
                   CHOOSE(
                       MATCH(AU16,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MATCH(AU16,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16" s="166"/>
      <c r="BR16" s="166"/>
      <c r="BS16" s="165" t="str">
        <f ca="1">IFERROR(IF(BP16="","","3F#"&amp;BR16&amp;"mm²+N"&amp;VLOOKUP($BR$5,NEUTRO!$A:$B,2,0)&amp;"mm²+T"&amp;VLOOKUP($BR$5,TERRA!$A:$B,2,0)&amp;"mm²"),"")</f>
        <v/>
      </c>
      <c r="BT16" s="110"/>
      <c r="BU16" s="2"/>
    </row>
    <row r="17" spans="1:73" ht="36.5" hidden="1" thickBot="1" x14ac:dyDescent="0.4">
      <c r="A17" s="106">
        <v>13</v>
      </c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1" t="str">
        <f t="shared" si="9"/>
        <v/>
      </c>
      <c r="AQ17" s="108" t="str">
        <f t="shared" si="0"/>
        <v/>
      </c>
      <c r="AR17" s="109" t="str">
        <f t="shared" si="5"/>
        <v/>
      </c>
      <c r="AS17" s="107"/>
      <c r="AT17" s="170"/>
      <c r="AU17" s="107"/>
      <c r="AV17" s="107"/>
      <c r="AW17" s="107"/>
      <c r="AX17" s="107"/>
      <c r="AY17" s="172" t="s">
        <v>278</v>
      </c>
      <c r="AZ17" s="172" t="s">
        <v>262</v>
      </c>
      <c r="BA17" s="172" t="e">
        <f>INDEX(AGRUPAMENTO!C15:N19,MATCH(AY17,AGRUPAMENTO!B15:B19,0),MATCH(AZ17,AGRUPAMENTO!C14:N14,0))</f>
        <v>#N/A</v>
      </c>
      <c r="BB17" s="174" t="s">
        <v>254</v>
      </c>
      <c r="BC17" s="176">
        <v>30</v>
      </c>
      <c r="BD17" s="172" t="e">
        <f>IF(BB17="SUBTERRÂNEA",IF(AV17="PVC",VLOOKUP(BC17,TEMPERATURA!G14:H28,2,0),VLOOKUP(BC17,TEMPERATURA!G14:I28,3,0)),IF(AV17="PVC",VLOOKUP(BC17,TEMPERATURA!B14:C28,2,0),VLOOKUP(BC17,TEMPERATURA!B14:D28,3,0)))</f>
        <v>#N/A</v>
      </c>
      <c r="BE17" s="102" t="str">
        <f t="shared" si="6"/>
        <v/>
      </c>
      <c r="BF17" s="108" t="str">
        <f t="shared" si="1"/>
        <v/>
      </c>
      <c r="BG17" s="102" t="e">
        <f t="shared" si="7"/>
        <v>#VALUE!</v>
      </c>
      <c r="BH17" s="108" t="str">
        <f t="shared" si="8"/>
        <v/>
      </c>
      <c r="BI17" s="173" t="str">
        <f>IF(AP17="","",
   IF(COUNTA(V17:AE17)&gt;=1,
      MAX(IFERROR(_xlfn.AGGREGATE(15,6,DISJUNTORES!$C$2:$C$100/(DISJUNTORES!$C$2:$C$100&gt;=BF17),1),""),25),
   IF(COUNTA(L17:U17)&gt;=1,
      MAX(IFERROR(_xlfn.AGGREGATE(15,6,DISJUNTORES!$C$2:$C$100/(DISJUNTORES!$C$2:$C$100&gt;=BF17),1),""),20),
   IF(COUNTA(A17:K17)&gt;=1,
      MAX(IFERROR(_xlfn.AGGREGATE(15,6,DISJUNTORES!$C$2:$C$100/(DISJUNTORES!$C$2:$C$100&gt;=BF17),1),""),16),
   IFERROR(_xlfn.AGGREGATE(15,6,DISJUNTORES!$C$2:$C$100/(DISJUNTORES!$C$2:$C$100&gt;=BF17),1),"")))))</f>
        <v/>
      </c>
      <c r="BJ17" s="107"/>
      <c r="BK17" s="107"/>
      <c r="BL17" s="107"/>
      <c r="BM17" s="109" t="str">
        <f t="shared" si="2"/>
        <v/>
      </c>
      <c r="BN17" s="109" t="str">
        <f t="shared" si="3"/>
        <v/>
      </c>
      <c r="BO17" s="109" t="str">
        <f t="shared" si="4"/>
        <v/>
      </c>
      <c r="BP17" s="104" t="str" cm="1">
        <f t="array" ref="BP17">IFERROR(
    INDEX(
        IF(AV17="PVC", 'CAP CONDUÇÃO 70º'!$A:$A, 'CAP CONDUÇÃO 90º'!$A:$A),
        IF(
            COUNTIF(
                IF(AV17="PVC",
                   CHOOSE(
                       MATCH(AU17,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MATCH(AU17,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BI17
            ) &gt; 0,
            MATCH(BI17,
                IF(AV17="PVC",
                   CHOOSE(
                       MATCH(AU17,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MATCH(AU17,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MATCH(BI17,
                IF(AV17="PVC",
                   CHOOSE(
                       MATCH(AU17,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MATCH(AU17,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17" s="166"/>
      <c r="BR17" s="166"/>
      <c r="BS17" s="165" t="str">
        <f ca="1">IFERROR(IF(BP17="","","3F#"&amp;BR17&amp;"mm²+N"&amp;VLOOKUP($BR$5,NEUTRO!$A:$B,2,0)&amp;"mm²+T"&amp;VLOOKUP($BR$5,TERRA!$A:$B,2,0)&amp;"mm²"),"")</f>
        <v/>
      </c>
      <c r="BT17" s="110"/>
      <c r="BU17" s="2"/>
    </row>
    <row r="18" spans="1:73" ht="36.5" hidden="1" thickBot="1" x14ac:dyDescent="0.4">
      <c r="A18" s="106">
        <v>14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1" t="str">
        <f t="shared" si="9"/>
        <v/>
      </c>
      <c r="AQ18" s="108" t="str">
        <f t="shared" si="0"/>
        <v/>
      </c>
      <c r="AR18" s="109" t="str">
        <f t="shared" si="5"/>
        <v/>
      </c>
      <c r="AS18" s="107"/>
      <c r="AT18" s="170"/>
      <c r="AU18" s="107"/>
      <c r="AV18" s="107"/>
      <c r="AW18" s="107"/>
      <c r="AX18" s="107"/>
      <c r="AY18" s="172" t="s">
        <v>278</v>
      </c>
      <c r="AZ18" s="172" t="s">
        <v>262</v>
      </c>
      <c r="BA18" s="172" t="e">
        <f>INDEX(AGRUPAMENTO!C16:N20,MATCH(AY18,AGRUPAMENTO!B16:B20,0),MATCH(AZ18,AGRUPAMENTO!C15:N15,0))</f>
        <v>#N/A</v>
      </c>
      <c r="BB18" s="174" t="s">
        <v>254</v>
      </c>
      <c r="BC18" s="176">
        <v>30</v>
      </c>
      <c r="BD18" s="172" t="e">
        <f>IF(BB18="SUBTERRÂNEA",IF(AV18="PVC",VLOOKUP(BC18,TEMPERATURA!G15:H29,2,0),VLOOKUP(BC18,TEMPERATURA!G15:I29,3,0)),IF(AV18="PVC",VLOOKUP(BC18,TEMPERATURA!B15:C29,2,0),VLOOKUP(BC18,TEMPERATURA!B15:D29,3,0)))</f>
        <v>#N/A</v>
      </c>
      <c r="BE18" s="102" t="str">
        <f t="shared" si="6"/>
        <v/>
      </c>
      <c r="BF18" s="108" t="str">
        <f t="shared" si="1"/>
        <v/>
      </c>
      <c r="BG18" s="102" t="e">
        <f t="shared" si="7"/>
        <v>#VALUE!</v>
      </c>
      <c r="BH18" s="108" t="str">
        <f t="shared" si="8"/>
        <v/>
      </c>
      <c r="BI18" s="173" t="str">
        <f>IF(AP18="","",
   IF(COUNTA(V18:AE18)&gt;=1,
      MAX(IFERROR(_xlfn.AGGREGATE(15,6,DISJUNTORES!$C$2:$C$100/(DISJUNTORES!$C$2:$C$100&gt;=BF18),1),""),25),
   IF(COUNTA(L18:U18)&gt;=1,
      MAX(IFERROR(_xlfn.AGGREGATE(15,6,DISJUNTORES!$C$2:$C$100/(DISJUNTORES!$C$2:$C$100&gt;=BF18),1),""),20),
   IF(COUNTA(A18:K18)&gt;=1,
      MAX(IFERROR(_xlfn.AGGREGATE(15,6,DISJUNTORES!$C$2:$C$100/(DISJUNTORES!$C$2:$C$100&gt;=BF18),1),""),16),
   IFERROR(_xlfn.AGGREGATE(15,6,DISJUNTORES!$C$2:$C$100/(DISJUNTORES!$C$2:$C$100&gt;=BF18),1),"")))))</f>
        <v/>
      </c>
      <c r="BJ18" s="107"/>
      <c r="BK18" s="107"/>
      <c r="BL18" s="107"/>
      <c r="BM18" s="109" t="str">
        <f t="shared" si="2"/>
        <v/>
      </c>
      <c r="BN18" s="109" t="str">
        <f t="shared" si="3"/>
        <v/>
      </c>
      <c r="BO18" s="109" t="str">
        <f t="shared" si="4"/>
        <v/>
      </c>
      <c r="BP18" s="104" t="str" cm="1">
        <f t="array" ref="BP18">IFERROR(
    INDEX(
        IF(AV18="PVC", 'CAP CONDUÇÃO 70º'!$A:$A, 'CAP CONDUÇÃO 90º'!$A:$A),
        IF(
            COUNTIF(
                IF(AV18="PVC",
                   CHOOSE(
                       MATCH(AU18,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MATCH(AU18,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BI18
            ) &gt; 0,
            MATCH(BI18,
                IF(AV18="PVC",
                   CHOOSE(
                       MATCH(AU18,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MATCH(AU18,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MATCH(BI18,
                IF(AV18="PVC",
                   CHOOSE(
                       MATCH(AU18,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MATCH(AU18,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18" s="166"/>
      <c r="BR18" s="166"/>
      <c r="BS18" s="165" t="str">
        <f ca="1">IFERROR(IF(BP18="","","3F#"&amp;BR18&amp;"mm²+N"&amp;VLOOKUP($BR$5,NEUTRO!$A:$B,2,0)&amp;"mm²+T"&amp;VLOOKUP($BR$5,TERRA!$A:$B,2,0)&amp;"mm²"),"")</f>
        <v/>
      </c>
      <c r="BT18" s="110"/>
      <c r="BU18" s="2"/>
    </row>
    <row r="19" spans="1:73" ht="36.5" hidden="1" thickBot="1" x14ac:dyDescent="0.4">
      <c r="A19" s="106">
        <v>15</v>
      </c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1" t="str">
        <f t="shared" si="9"/>
        <v/>
      </c>
      <c r="AQ19" s="108" t="str">
        <f t="shared" si="0"/>
        <v/>
      </c>
      <c r="AR19" s="109" t="str">
        <f t="shared" si="5"/>
        <v/>
      </c>
      <c r="AS19" s="107"/>
      <c r="AT19" s="170"/>
      <c r="AU19" s="107"/>
      <c r="AV19" s="107"/>
      <c r="AW19" s="107"/>
      <c r="AX19" s="107"/>
      <c r="AY19" s="172" t="s">
        <v>278</v>
      </c>
      <c r="AZ19" s="172" t="s">
        <v>262</v>
      </c>
      <c r="BA19" s="172" t="e">
        <f>INDEX(AGRUPAMENTO!C17:N21,MATCH(AY19,AGRUPAMENTO!B17:B21,0),MATCH(AZ19,AGRUPAMENTO!C16:N16,0))</f>
        <v>#N/A</v>
      </c>
      <c r="BB19" s="174" t="s">
        <v>254</v>
      </c>
      <c r="BC19" s="176">
        <v>30</v>
      </c>
      <c r="BD19" s="172" t="e">
        <f>IF(BB19="SUBTERRÂNEA",IF(AV19="PVC",VLOOKUP(BC19,TEMPERATURA!G16:H30,2,0),VLOOKUP(BC19,TEMPERATURA!G16:I30,3,0)),IF(AV19="PVC",VLOOKUP(BC19,TEMPERATURA!B16:C30,2,0),VLOOKUP(BC19,TEMPERATURA!B16:D30,3,0)))</f>
        <v>#N/A</v>
      </c>
      <c r="BE19" s="102" t="str">
        <f t="shared" si="6"/>
        <v/>
      </c>
      <c r="BF19" s="108" t="str">
        <f t="shared" si="1"/>
        <v/>
      </c>
      <c r="BG19" s="102" t="e">
        <f t="shared" si="7"/>
        <v>#VALUE!</v>
      </c>
      <c r="BH19" s="108" t="str">
        <f t="shared" si="8"/>
        <v/>
      </c>
      <c r="BI19" s="173" t="str">
        <f>IF(AP19="","",
   IF(COUNTA(V19:AE19)&gt;=1,
      MAX(IFERROR(_xlfn.AGGREGATE(15,6,DISJUNTORES!$C$2:$C$100/(DISJUNTORES!$C$2:$C$100&gt;=BF19),1),""),25),
   IF(COUNTA(L19:U19)&gt;=1,
      MAX(IFERROR(_xlfn.AGGREGATE(15,6,DISJUNTORES!$C$2:$C$100/(DISJUNTORES!$C$2:$C$100&gt;=BF19),1),""),20),
   IF(COUNTA(A19:K19)&gt;=1,
      MAX(IFERROR(_xlfn.AGGREGATE(15,6,DISJUNTORES!$C$2:$C$100/(DISJUNTORES!$C$2:$C$100&gt;=BF19),1),""),16),
   IFERROR(_xlfn.AGGREGATE(15,6,DISJUNTORES!$C$2:$C$100/(DISJUNTORES!$C$2:$C$100&gt;=BF19),1),"")))))</f>
        <v/>
      </c>
      <c r="BJ19" s="107"/>
      <c r="BK19" s="107"/>
      <c r="BL19" s="107"/>
      <c r="BM19" s="109" t="str">
        <f t="shared" si="2"/>
        <v/>
      </c>
      <c r="BN19" s="109" t="str">
        <f t="shared" si="3"/>
        <v/>
      </c>
      <c r="BO19" s="109" t="str">
        <f t="shared" si="4"/>
        <v/>
      </c>
      <c r="BP19" s="104" t="str" cm="1">
        <f t="array" ref="BP19">IFERROR(
    INDEX(
        IF(AV19="PVC", 'CAP CONDUÇÃO 70º'!$A:$A, 'CAP CONDUÇÃO 90º'!$A:$A),
        IF(
            COUNTIF(
                IF(AV19="PVC",
                   CHOOSE(
                       MATCH(AU19,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MATCH(AU19,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BI19
            ) &gt; 0,
            MATCH(BI19,
                IF(AV19="PVC",
                   CHOOSE(
                       MATCH(AU19,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MATCH(AU19,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MATCH(BI19,
                IF(AV19="PVC",
                   CHOOSE(
                       MATCH(AU19,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MATCH(AU19,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19" s="166"/>
      <c r="BR19" s="166"/>
      <c r="BS19" s="165" t="str">
        <f ca="1">IFERROR(IF(BP19="","","3F#"&amp;BR19&amp;"mm²+N"&amp;VLOOKUP($BR$5,NEUTRO!$A:$B,2,0)&amp;"mm²+T"&amp;VLOOKUP($BR$5,TERRA!$A:$B,2,0)&amp;"mm²"),"")</f>
        <v/>
      </c>
      <c r="BT19" s="110"/>
      <c r="BU19" s="2"/>
    </row>
    <row r="20" spans="1:73" ht="36.5" hidden="1" thickBot="1" x14ac:dyDescent="0.4">
      <c r="A20" s="106">
        <v>16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1" t="str">
        <f t="shared" si="9"/>
        <v/>
      </c>
      <c r="AQ20" s="108" t="str">
        <f t="shared" si="0"/>
        <v/>
      </c>
      <c r="AR20" s="109" t="str">
        <f t="shared" si="5"/>
        <v/>
      </c>
      <c r="AS20" s="107"/>
      <c r="AT20" s="170"/>
      <c r="AU20" s="107"/>
      <c r="AV20" s="107"/>
      <c r="AW20" s="107"/>
      <c r="AX20" s="107"/>
      <c r="AY20" s="172" t="s">
        <v>278</v>
      </c>
      <c r="AZ20" s="172" t="s">
        <v>262</v>
      </c>
      <c r="BA20" s="172" t="e">
        <f>INDEX(AGRUPAMENTO!C18:N22,MATCH(AY20,AGRUPAMENTO!B18:B22,0),MATCH(AZ20,AGRUPAMENTO!C17:N17,0))</f>
        <v>#N/A</v>
      </c>
      <c r="BB20" s="174" t="s">
        <v>254</v>
      </c>
      <c r="BC20" s="176">
        <v>30</v>
      </c>
      <c r="BD20" s="172" t="e">
        <f>IF(BB20="SUBTERRÂNEA",IF(AV20="PVC",VLOOKUP(BC20,TEMPERATURA!G17:H31,2,0),VLOOKUP(BC20,TEMPERATURA!G17:I31,3,0)),IF(AV20="PVC",VLOOKUP(BC20,TEMPERATURA!B17:C31,2,0),VLOOKUP(BC20,TEMPERATURA!B17:D31,3,0)))</f>
        <v>#N/A</v>
      </c>
      <c r="BE20" s="102" t="str">
        <f t="shared" si="6"/>
        <v/>
      </c>
      <c r="BF20" s="108" t="str">
        <f t="shared" si="1"/>
        <v/>
      </c>
      <c r="BG20" s="102" t="e">
        <f t="shared" si="7"/>
        <v>#VALUE!</v>
      </c>
      <c r="BH20" s="108" t="str">
        <f t="shared" si="8"/>
        <v/>
      </c>
      <c r="BI20" s="173" t="str">
        <f>IF(AP20="","",
   IF(COUNTA(V20:AE20)&gt;=1,
      MAX(IFERROR(_xlfn.AGGREGATE(15,6,DISJUNTORES!$C$2:$C$100/(DISJUNTORES!$C$2:$C$100&gt;=BF20),1),""),25),
   IF(COUNTA(L20:U20)&gt;=1,
      MAX(IFERROR(_xlfn.AGGREGATE(15,6,DISJUNTORES!$C$2:$C$100/(DISJUNTORES!$C$2:$C$100&gt;=BF20),1),""),20),
   IF(COUNTA(A20:K20)&gt;=1,
      MAX(IFERROR(_xlfn.AGGREGATE(15,6,DISJUNTORES!$C$2:$C$100/(DISJUNTORES!$C$2:$C$100&gt;=BF20),1),""),16),
   IFERROR(_xlfn.AGGREGATE(15,6,DISJUNTORES!$C$2:$C$100/(DISJUNTORES!$C$2:$C$100&gt;=BF20),1),"")))))</f>
        <v/>
      </c>
      <c r="BJ20" s="107"/>
      <c r="BK20" s="107"/>
      <c r="BL20" s="107"/>
      <c r="BM20" s="109" t="str">
        <f t="shared" si="2"/>
        <v/>
      </c>
      <c r="BN20" s="109" t="str">
        <f t="shared" si="3"/>
        <v/>
      </c>
      <c r="BO20" s="109" t="str">
        <f t="shared" si="4"/>
        <v/>
      </c>
      <c r="BP20" s="104" t="str" cm="1">
        <f t="array" ref="BP20">IFERROR(
    INDEX(
        IF(AV20="PVC", 'CAP CONDUÇÃO 70º'!$A:$A, 'CAP CONDUÇÃO 90º'!$A:$A),
        IF(
            COUNTIF(
                IF(AV20="PVC",
                   CHOOSE(
                       MATCH(AU20,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MATCH(AU20,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BI20
            ) &gt; 0,
            MATCH(BI20,
                IF(AV20="PVC",
                   CHOOSE(
                       MATCH(AU20,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MATCH(AU20,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MATCH(BI20,
                IF(AV20="PVC",
                   CHOOSE(
                       MATCH(AU20,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MATCH(AU20,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20" s="166"/>
      <c r="BR20" s="166"/>
      <c r="BS20" s="165" t="str">
        <f ca="1">IFERROR(IF(BP20="","","3F#"&amp;BR20&amp;"mm²+N"&amp;VLOOKUP($BR$5,NEUTRO!$A:$B,2,0)&amp;"mm²+T"&amp;VLOOKUP($BR$5,TERRA!$A:$B,2,0)&amp;"mm²"),"")</f>
        <v/>
      </c>
      <c r="BT20" s="110"/>
      <c r="BU20" s="2"/>
    </row>
    <row r="21" spans="1:73" ht="36.5" hidden="1" thickBot="1" x14ac:dyDescent="0.4">
      <c r="A21" s="106">
        <v>17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1" t="str">
        <f t="shared" si="9"/>
        <v/>
      </c>
      <c r="AQ21" s="108" t="str">
        <f t="shared" si="0"/>
        <v/>
      </c>
      <c r="AR21" s="109" t="str">
        <f t="shared" si="5"/>
        <v/>
      </c>
      <c r="AS21" s="107"/>
      <c r="AT21" s="170"/>
      <c r="AU21" s="107"/>
      <c r="AV21" s="107"/>
      <c r="AW21" s="107"/>
      <c r="AX21" s="107"/>
      <c r="AY21" s="172" t="s">
        <v>278</v>
      </c>
      <c r="AZ21" s="172" t="s">
        <v>262</v>
      </c>
      <c r="BA21" s="172" t="e">
        <f>INDEX(AGRUPAMENTO!C19:N23,MATCH(AY21,AGRUPAMENTO!B19:B23,0),MATCH(AZ21,AGRUPAMENTO!C18:N18,0))</f>
        <v>#N/A</v>
      </c>
      <c r="BB21" s="174" t="s">
        <v>254</v>
      </c>
      <c r="BC21" s="176">
        <v>30</v>
      </c>
      <c r="BD21" s="172" t="e">
        <f>IF(BB21="SUBTERRÂNEA",IF(AV21="PVC",VLOOKUP(BC21,TEMPERATURA!G18:H32,2,0),VLOOKUP(BC21,TEMPERATURA!G18:I32,3,0)),IF(AV21="PVC",VLOOKUP(BC21,TEMPERATURA!B18:C32,2,0),VLOOKUP(BC21,TEMPERATURA!B18:D32,3,0)))</f>
        <v>#N/A</v>
      </c>
      <c r="BE21" s="102" t="str">
        <f t="shared" si="6"/>
        <v/>
      </c>
      <c r="BF21" s="108" t="str">
        <f t="shared" si="1"/>
        <v/>
      </c>
      <c r="BG21" s="102" t="e">
        <f t="shared" si="7"/>
        <v>#VALUE!</v>
      </c>
      <c r="BH21" s="108" t="str">
        <f t="shared" si="8"/>
        <v/>
      </c>
      <c r="BI21" s="173" t="str">
        <f>IF(AP21="","",
   IF(COUNTA(V21:AE21)&gt;=1,
      MAX(IFERROR(_xlfn.AGGREGATE(15,6,DISJUNTORES!$C$2:$C$100/(DISJUNTORES!$C$2:$C$100&gt;=BF21),1),""),25),
   IF(COUNTA(L21:U21)&gt;=1,
      MAX(IFERROR(_xlfn.AGGREGATE(15,6,DISJUNTORES!$C$2:$C$100/(DISJUNTORES!$C$2:$C$100&gt;=BF21),1),""),20),
   IF(COUNTA(A21:K21)&gt;=1,
      MAX(IFERROR(_xlfn.AGGREGATE(15,6,DISJUNTORES!$C$2:$C$100/(DISJUNTORES!$C$2:$C$100&gt;=BF21),1),""),16),
   IFERROR(_xlfn.AGGREGATE(15,6,DISJUNTORES!$C$2:$C$100/(DISJUNTORES!$C$2:$C$100&gt;=BF21),1),"")))))</f>
        <v/>
      </c>
      <c r="BJ21" s="107"/>
      <c r="BK21" s="107"/>
      <c r="BL21" s="107"/>
      <c r="BM21" s="109" t="str">
        <f t="shared" si="2"/>
        <v/>
      </c>
      <c r="BN21" s="109" t="str">
        <f t="shared" si="3"/>
        <v/>
      </c>
      <c r="BO21" s="109" t="str">
        <f t="shared" si="4"/>
        <v/>
      </c>
      <c r="BP21" s="104" t="str" cm="1">
        <f t="array" ref="BP21">IFERROR(
    INDEX(
        IF(AV21="PVC", 'CAP CONDUÇÃO 70º'!$A:$A, 'CAP CONDUÇÃO 90º'!$A:$A),
        IF(
            COUNTIF(
                IF(AV21="PVC",
                   CHOOSE(
                       MATCH(AU21,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MATCH(AU21,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BI21
            ) &gt; 0,
            MATCH(BI21,
                IF(AV21="PVC",
                   CHOOSE(
                       MATCH(AU21,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MATCH(AU21,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MATCH(BI21,
                IF(AV21="PVC",
                   CHOOSE(
                       MATCH(AU21,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MATCH(AU21,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21" s="166"/>
      <c r="BR21" s="166"/>
      <c r="BS21" s="165" t="str">
        <f ca="1">IFERROR(IF(BP21="","","3F#"&amp;BR21&amp;"mm²+N"&amp;VLOOKUP($BR$5,NEUTRO!$A:$B,2,0)&amp;"mm²+T"&amp;VLOOKUP($BR$5,TERRA!$A:$B,2,0)&amp;"mm²"),"")</f>
        <v/>
      </c>
      <c r="BT21" s="110"/>
      <c r="BU21" s="2"/>
    </row>
    <row r="22" spans="1:73" ht="36.5" hidden="1" thickBot="1" x14ac:dyDescent="0.4">
      <c r="A22" s="106">
        <v>18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1" t="str">
        <f t="shared" si="9"/>
        <v/>
      </c>
      <c r="AQ22" s="108" t="str">
        <f t="shared" si="0"/>
        <v/>
      </c>
      <c r="AR22" s="109" t="str">
        <f t="shared" si="5"/>
        <v/>
      </c>
      <c r="AS22" s="107"/>
      <c r="AT22" s="170"/>
      <c r="AU22" s="107"/>
      <c r="AV22" s="107"/>
      <c r="AW22" s="107"/>
      <c r="AX22" s="107"/>
      <c r="AY22" s="172" t="s">
        <v>278</v>
      </c>
      <c r="AZ22" s="172" t="s">
        <v>262</v>
      </c>
      <c r="BA22" s="172" t="e">
        <f>INDEX(AGRUPAMENTO!C20:N24,MATCH(AY22,AGRUPAMENTO!B20:B24,0),MATCH(AZ22,AGRUPAMENTO!C19:N19,0))</f>
        <v>#N/A</v>
      </c>
      <c r="BB22" s="174" t="s">
        <v>254</v>
      </c>
      <c r="BC22" s="176">
        <v>30</v>
      </c>
      <c r="BD22" s="172" t="e">
        <f>IF(BB22="SUBTERRÂNEA",IF(AV22="PVC",VLOOKUP(BC22,TEMPERATURA!G19:H33,2,0),VLOOKUP(BC22,TEMPERATURA!G19:I33,3,0)),IF(AV22="PVC",VLOOKUP(BC22,TEMPERATURA!B19:C33,2,0),VLOOKUP(BC22,TEMPERATURA!B19:D33,3,0)))</f>
        <v>#N/A</v>
      </c>
      <c r="BE22" s="102" t="str">
        <f t="shared" si="6"/>
        <v/>
      </c>
      <c r="BF22" s="108" t="str">
        <f t="shared" si="1"/>
        <v/>
      </c>
      <c r="BG22" s="102" t="e">
        <f t="shared" si="7"/>
        <v>#VALUE!</v>
      </c>
      <c r="BH22" s="108" t="str">
        <f t="shared" si="8"/>
        <v/>
      </c>
      <c r="BI22" s="173" t="str">
        <f>IF(AP22="","",
   IF(COUNTA(V22:AE22)&gt;=1,
      MAX(IFERROR(_xlfn.AGGREGATE(15,6,DISJUNTORES!$C$2:$C$100/(DISJUNTORES!$C$2:$C$100&gt;=BF22),1),""),25),
   IF(COUNTA(L22:U22)&gt;=1,
      MAX(IFERROR(_xlfn.AGGREGATE(15,6,DISJUNTORES!$C$2:$C$100/(DISJUNTORES!$C$2:$C$100&gt;=BF22),1),""),20),
   IF(COUNTA(A22:K22)&gt;=1,
      MAX(IFERROR(_xlfn.AGGREGATE(15,6,DISJUNTORES!$C$2:$C$100/(DISJUNTORES!$C$2:$C$100&gt;=BF22),1),""),16),
   IFERROR(_xlfn.AGGREGATE(15,6,DISJUNTORES!$C$2:$C$100/(DISJUNTORES!$C$2:$C$100&gt;=BF22),1),"")))))</f>
        <v/>
      </c>
      <c r="BJ22" s="107"/>
      <c r="BK22" s="107"/>
      <c r="BL22" s="107"/>
      <c r="BM22" s="109" t="str">
        <f t="shared" si="2"/>
        <v/>
      </c>
      <c r="BN22" s="109" t="str">
        <f t="shared" si="3"/>
        <v/>
      </c>
      <c r="BO22" s="109" t="str">
        <f t="shared" si="4"/>
        <v/>
      </c>
      <c r="BP22" s="104" t="str" cm="1">
        <f t="array" ref="BP22">IFERROR(
    INDEX(
        IF(AV22="PVC", 'CAP CONDUÇÃO 70º'!$A:$A, 'CAP CONDUÇÃO 90º'!$A:$A),
        IF(
            COUNTIF(
                IF(AV22="PVC",
                   CHOOSE(
                       MATCH(AU22,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MATCH(AU22,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BI22
            ) &gt; 0,
            MATCH(BI22,
                IF(AV22="PVC",
                   CHOOSE(
                       MATCH(AU22,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MATCH(AU22,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MATCH(BI22,
                IF(AV22="PVC",
                   CHOOSE(
                       MATCH(AU22,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MATCH(AU22,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22" s="166"/>
      <c r="BR22" s="166"/>
      <c r="BS22" s="165" t="str">
        <f ca="1">IFERROR(IF(BP22="","","3F#"&amp;BR22&amp;"mm²+N"&amp;VLOOKUP($BR$5,NEUTRO!$A:$B,2,0)&amp;"mm²+T"&amp;VLOOKUP($BR$5,TERRA!$A:$B,2,0)&amp;"mm²"),"")</f>
        <v/>
      </c>
      <c r="BT22" s="110"/>
      <c r="BU22" s="2"/>
    </row>
    <row r="23" spans="1:73" ht="36.5" hidden="1" thickBot="1" x14ac:dyDescent="0.4">
      <c r="A23" s="106">
        <v>19</v>
      </c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1" t="str">
        <f t="shared" si="9"/>
        <v/>
      </c>
      <c r="AQ23" s="108" t="str">
        <f t="shared" si="0"/>
        <v/>
      </c>
      <c r="AR23" s="109" t="str">
        <f t="shared" si="5"/>
        <v/>
      </c>
      <c r="AS23" s="107"/>
      <c r="AT23" s="170"/>
      <c r="AU23" s="107"/>
      <c r="AV23" s="107"/>
      <c r="AW23" s="107"/>
      <c r="AX23" s="107"/>
      <c r="AY23" s="172" t="s">
        <v>278</v>
      </c>
      <c r="AZ23" s="172" t="s">
        <v>262</v>
      </c>
      <c r="BA23" s="172" t="e">
        <f>INDEX(AGRUPAMENTO!C21:N25,MATCH(AY23,AGRUPAMENTO!B21:B25,0),MATCH(AZ23,AGRUPAMENTO!C20:N20,0))</f>
        <v>#N/A</v>
      </c>
      <c r="BB23" s="174" t="s">
        <v>254</v>
      </c>
      <c r="BC23" s="176">
        <v>30</v>
      </c>
      <c r="BD23" s="172" t="e">
        <f>IF(BB23="SUBTERRÂNEA",IF(AV23="PVC",VLOOKUP(BC23,TEMPERATURA!G20:H34,2,0),VLOOKUP(BC23,TEMPERATURA!G20:I34,3,0)),IF(AV23="PVC",VLOOKUP(BC23,TEMPERATURA!B20:C34,2,0),VLOOKUP(BC23,TEMPERATURA!B20:D34,3,0)))</f>
        <v>#N/A</v>
      </c>
      <c r="BE23" s="102" t="str">
        <f t="shared" si="6"/>
        <v/>
      </c>
      <c r="BF23" s="108" t="str">
        <f t="shared" si="1"/>
        <v/>
      </c>
      <c r="BG23" s="102" t="e">
        <f t="shared" si="7"/>
        <v>#VALUE!</v>
      </c>
      <c r="BH23" s="108" t="str">
        <f t="shared" si="8"/>
        <v/>
      </c>
      <c r="BI23" s="173" t="str">
        <f>IF(AP23="","",
   IF(COUNTA(V23:AE23)&gt;=1,
      MAX(IFERROR(_xlfn.AGGREGATE(15,6,DISJUNTORES!$C$2:$C$100/(DISJUNTORES!$C$2:$C$100&gt;=BF23),1),""),25),
   IF(COUNTA(L23:U23)&gt;=1,
      MAX(IFERROR(_xlfn.AGGREGATE(15,6,DISJUNTORES!$C$2:$C$100/(DISJUNTORES!$C$2:$C$100&gt;=BF23),1),""),20),
   IF(COUNTA(A23:K23)&gt;=1,
      MAX(IFERROR(_xlfn.AGGREGATE(15,6,DISJUNTORES!$C$2:$C$100/(DISJUNTORES!$C$2:$C$100&gt;=BF23),1),""),16),
   IFERROR(_xlfn.AGGREGATE(15,6,DISJUNTORES!$C$2:$C$100/(DISJUNTORES!$C$2:$C$100&gt;=BF23),1),"")))))</f>
        <v/>
      </c>
      <c r="BJ23" s="107"/>
      <c r="BK23" s="107"/>
      <c r="BL23" s="107"/>
      <c r="BM23" s="109" t="str">
        <f t="shared" si="2"/>
        <v/>
      </c>
      <c r="BN23" s="109" t="str">
        <f t="shared" si="3"/>
        <v/>
      </c>
      <c r="BO23" s="109" t="str">
        <f t="shared" si="4"/>
        <v/>
      </c>
      <c r="BP23" s="104" t="str" cm="1">
        <f t="array" ref="BP23">IFERROR(
    INDEX(
        IF(AV23="PVC", 'CAP CONDUÇÃO 70º'!$A:$A, 'CAP CONDUÇÃO 90º'!$A:$A),
        IF(
            COUNTIF(
                IF(AV23="PVC",
                   CHOOSE(
                       MATCH(AU23,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MATCH(AU23,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BI23
            ) &gt; 0,
            MATCH(BI23,
                IF(AV23="PVC",
                   CHOOSE(
                       MATCH(AU23,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MATCH(AU23,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MATCH(BI23,
                IF(AV23="PVC",
                   CHOOSE(
                       MATCH(AU23,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MATCH(AU23,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23" s="166"/>
      <c r="BR23" s="166"/>
      <c r="BS23" s="165" t="str">
        <f ca="1">IFERROR(IF(BP23="","","3F#"&amp;BR23&amp;"mm²+N"&amp;VLOOKUP($BR$5,NEUTRO!$A:$B,2,0)&amp;"mm²+T"&amp;VLOOKUP($BR$5,TERRA!$A:$B,2,0)&amp;"mm²"),"")</f>
        <v/>
      </c>
      <c r="BT23" s="110"/>
      <c r="BU23" s="2"/>
    </row>
    <row r="24" spans="1:73" ht="36.5" hidden="1" thickBot="1" x14ac:dyDescent="0.4">
      <c r="A24" s="106">
        <v>20</v>
      </c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1" t="str">
        <f t="shared" si="9"/>
        <v/>
      </c>
      <c r="AQ24" s="108" t="str">
        <f t="shared" si="0"/>
        <v/>
      </c>
      <c r="AR24" s="109" t="str">
        <f t="shared" si="5"/>
        <v/>
      </c>
      <c r="AS24" s="107"/>
      <c r="AT24" s="170"/>
      <c r="AU24" s="107"/>
      <c r="AV24" s="107"/>
      <c r="AW24" s="107"/>
      <c r="AX24" s="107"/>
      <c r="AY24" s="172" t="s">
        <v>278</v>
      </c>
      <c r="AZ24" s="172" t="s">
        <v>262</v>
      </c>
      <c r="BA24" s="172" t="e">
        <f>INDEX(AGRUPAMENTO!C22:N26,MATCH(AY24,AGRUPAMENTO!B22:B26,0),MATCH(AZ24,AGRUPAMENTO!C21:N21,0))</f>
        <v>#N/A</v>
      </c>
      <c r="BB24" s="174" t="s">
        <v>254</v>
      </c>
      <c r="BC24" s="176">
        <v>30</v>
      </c>
      <c r="BD24" s="172" t="e">
        <f>IF(BB24="SUBTERRÂNEA",IF(AV24="PVC",VLOOKUP(BC24,TEMPERATURA!G21:H35,2,0),VLOOKUP(BC24,TEMPERATURA!G21:I35,3,0)),IF(AV24="PVC",VLOOKUP(BC24,TEMPERATURA!B21:C35,2,0),VLOOKUP(BC24,TEMPERATURA!B21:D35,3,0)))</f>
        <v>#N/A</v>
      </c>
      <c r="BE24" s="102" t="str">
        <f t="shared" si="6"/>
        <v/>
      </c>
      <c r="BF24" s="108" t="str">
        <f t="shared" si="1"/>
        <v/>
      </c>
      <c r="BG24" s="102" t="e">
        <f t="shared" si="7"/>
        <v>#VALUE!</v>
      </c>
      <c r="BH24" s="108" t="str">
        <f t="shared" si="8"/>
        <v/>
      </c>
      <c r="BI24" s="173" t="str">
        <f>IF(AP24="","",
   IF(COUNTA(V24:AE24)&gt;=1,
      MAX(IFERROR(_xlfn.AGGREGATE(15,6,DISJUNTORES!$C$2:$C$100/(DISJUNTORES!$C$2:$C$100&gt;=BF24),1),""),25),
   IF(COUNTA(L24:U24)&gt;=1,
      MAX(IFERROR(_xlfn.AGGREGATE(15,6,DISJUNTORES!$C$2:$C$100/(DISJUNTORES!$C$2:$C$100&gt;=BF24),1),""),20),
   IF(COUNTA(A24:K24)&gt;=1,
      MAX(IFERROR(_xlfn.AGGREGATE(15,6,DISJUNTORES!$C$2:$C$100/(DISJUNTORES!$C$2:$C$100&gt;=BF24),1),""),16),
   IFERROR(_xlfn.AGGREGATE(15,6,DISJUNTORES!$C$2:$C$100/(DISJUNTORES!$C$2:$C$100&gt;=BF24),1),"")))))</f>
        <v/>
      </c>
      <c r="BJ24" s="107"/>
      <c r="BK24" s="107"/>
      <c r="BL24" s="107"/>
      <c r="BM24" s="109" t="str">
        <f t="shared" si="2"/>
        <v/>
      </c>
      <c r="BN24" s="109" t="str">
        <f t="shared" si="3"/>
        <v/>
      </c>
      <c r="BO24" s="109" t="str">
        <f t="shared" si="4"/>
        <v/>
      </c>
      <c r="BP24" s="104" t="str" cm="1">
        <f t="array" ref="BP24">IFERROR(
    INDEX(
        IF(AV24="PVC", 'CAP CONDUÇÃO 70º'!$A:$A, 'CAP CONDUÇÃO 90º'!$A:$A),
        IF(
            COUNTIF(
                IF(AV24="PVC",
                   CHOOSE(
                       MATCH(AU24,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MATCH(AU24,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BI24
            ) &gt; 0,
            MATCH(BI24,
                IF(AV24="PVC",
                   CHOOSE(
                       MATCH(AU24,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MATCH(AU24,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MATCH(BI24,
                IF(AV24="PVC",
                   CHOOSE(
                       MATCH(AU24,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MATCH(AU24,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24" s="166"/>
      <c r="BR24" s="166"/>
      <c r="BS24" s="165" t="str">
        <f ca="1">IFERROR(IF(BP24="","","3F#"&amp;BR24&amp;"mm²+N"&amp;VLOOKUP($BR$5,NEUTRO!$A:$B,2,0)&amp;"mm²+T"&amp;VLOOKUP($BR$5,TERRA!$A:$B,2,0)&amp;"mm²"),"")</f>
        <v/>
      </c>
      <c r="BT24" s="110"/>
      <c r="BU24" s="2"/>
    </row>
    <row r="25" spans="1:73" ht="36.5" hidden="1" thickBot="1" x14ac:dyDescent="0.4">
      <c r="A25" s="106">
        <v>21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1" t="str">
        <f t="shared" si="9"/>
        <v/>
      </c>
      <c r="AQ25" s="108" t="str">
        <f t="shared" si="0"/>
        <v/>
      </c>
      <c r="AR25" s="109" t="str">
        <f t="shared" si="5"/>
        <v/>
      </c>
      <c r="AS25" s="107"/>
      <c r="AT25" s="170"/>
      <c r="AU25" s="107"/>
      <c r="AV25" s="107"/>
      <c r="AW25" s="107"/>
      <c r="AX25" s="107"/>
      <c r="AY25" s="172" t="s">
        <v>278</v>
      </c>
      <c r="AZ25" s="172" t="s">
        <v>262</v>
      </c>
      <c r="BA25" s="172" t="e">
        <f>INDEX(AGRUPAMENTO!C23:N27,MATCH(AY25,AGRUPAMENTO!B23:B27,0),MATCH(AZ25,AGRUPAMENTO!C22:N22,0))</f>
        <v>#N/A</v>
      </c>
      <c r="BB25" s="174" t="s">
        <v>254</v>
      </c>
      <c r="BC25" s="176">
        <v>30</v>
      </c>
      <c r="BD25" s="172" t="e">
        <f>IF(BB25="SUBTERRÂNEA",IF(AV25="PVC",VLOOKUP(BC25,TEMPERATURA!G22:H36,2,0),VLOOKUP(BC25,TEMPERATURA!G22:I36,3,0)),IF(AV25="PVC",VLOOKUP(BC25,TEMPERATURA!B22:C36,2,0),VLOOKUP(BC25,TEMPERATURA!B22:D36,3,0)))</f>
        <v>#N/A</v>
      </c>
      <c r="BE25" s="102" t="str">
        <f t="shared" si="6"/>
        <v/>
      </c>
      <c r="BF25" s="108" t="str">
        <f t="shared" si="1"/>
        <v/>
      </c>
      <c r="BG25" s="102" t="e">
        <f t="shared" si="7"/>
        <v>#VALUE!</v>
      </c>
      <c r="BH25" s="108" t="str">
        <f t="shared" si="8"/>
        <v/>
      </c>
      <c r="BI25" s="173" t="str">
        <f>IF(AP25="","",
   IF(COUNTA(V25:AE25)&gt;=1,
      MAX(IFERROR(_xlfn.AGGREGATE(15,6,DISJUNTORES!$C$2:$C$100/(DISJUNTORES!$C$2:$C$100&gt;=BF25),1),""),25),
   IF(COUNTA(L25:U25)&gt;=1,
      MAX(IFERROR(_xlfn.AGGREGATE(15,6,DISJUNTORES!$C$2:$C$100/(DISJUNTORES!$C$2:$C$100&gt;=BF25),1),""),20),
   IF(COUNTA(A25:K25)&gt;=1,
      MAX(IFERROR(_xlfn.AGGREGATE(15,6,DISJUNTORES!$C$2:$C$100/(DISJUNTORES!$C$2:$C$100&gt;=BF25),1),""),16),
   IFERROR(_xlfn.AGGREGATE(15,6,DISJUNTORES!$C$2:$C$100/(DISJUNTORES!$C$2:$C$100&gt;=BF25),1),"")))))</f>
        <v/>
      </c>
      <c r="BJ25" s="107"/>
      <c r="BK25" s="107"/>
      <c r="BL25" s="107"/>
      <c r="BM25" s="109" t="str">
        <f t="shared" si="2"/>
        <v/>
      </c>
      <c r="BN25" s="109" t="str">
        <f t="shared" si="3"/>
        <v/>
      </c>
      <c r="BO25" s="109" t="str">
        <f t="shared" si="4"/>
        <v/>
      </c>
      <c r="BP25" s="104" t="str" cm="1">
        <f t="array" ref="BP25">IFERROR(
    INDEX(
        IF(AV25="PVC", 'CAP CONDUÇÃO 70º'!$A:$A, 'CAP CONDUÇÃO 90º'!$A:$A),
        IF(
            COUNTIF(
                IF(AV25="PVC",
                   CHOOSE(
                       MATCH(AU25,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MATCH(AU25,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BI25
            ) &gt; 0,
            MATCH(BI25,
                IF(AV25="PVC",
                   CHOOSE(
                       MATCH(AU25,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MATCH(AU25,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MATCH(BI25,
                IF(AV25="PVC",
                   CHOOSE(
                       MATCH(AU25,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MATCH(AU25,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25" s="166"/>
      <c r="BR25" s="166"/>
      <c r="BS25" s="165" t="str">
        <f ca="1">IFERROR(IF(BP25="","","3F#"&amp;BR25&amp;"mm²+N"&amp;VLOOKUP($BR$5,NEUTRO!$A:$B,2,0)&amp;"mm²+T"&amp;VLOOKUP($BR$5,TERRA!$A:$B,2,0)&amp;"mm²"),"")</f>
        <v/>
      </c>
      <c r="BT25" s="110"/>
      <c r="BU25" s="2"/>
    </row>
    <row r="26" spans="1:73" ht="36.5" hidden="1" thickBot="1" x14ac:dyDescent="0.4">
      <c r="A26" s="106">
        <v>22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1" t="str">
        <f t="shared" si="9"/>
        <v/>
      </c>
      <c r="AQ26" s="108" t="str">
        <f t="shared" si="0"/>
        <v/>
      </c>
      <c r="AR26" s="109" t="str">
        <f t="shared" si="5"/>
        <v/>
      </c>
      <c r="AS26" s="107"/>
      <c r="AT26" s="170"/>
      <c r="AU26" s="107"/>
      <c r="AV26" s="107"/>
      <c r="AW26" s="107"/>
      <c r="AX26" s="107"/>
      <c r="AY26" s="172" t="s">
        <v>278</v>
      </c>
      <c r="AZ26" s="172" t="s">
        <v>262</v>
      </c>
      <c r="BA26" s="172" t="e">
        <f>INDEX(AGRUPAMENTO!C24:N28,MATCH(AY26,AGRUPAMENTO!B24:B28,0),MATCH(AZ26,AGRUPAMENTO!C23:N23,0))</f>
        <v>#N/A</v>
      </c>
      <c r="BB26" s="174" t="s">
        <v>254</v>
      </c>
      <c r="BC26" s="176">
        <v>30</v>
      </c>
      <c r="BD26" s="172" t="e">
        <f>IF(BB26="SUBTERRÂNEA",IF(AV26="PVC",VLOOKUP(BC26,TEMPERATURA!G23:H37,2,0),VLOOKUP(BC26,TEMPERATURA!G23:I37,3,0)),IF(AV26="PVC",VLOOKUP(BC26,TEMPERATURA!B23:C37,2,0),VLOOKUP(BC26,TEMPERATURA!B23:D37,3,0)))</f>
        <v>#N/A</v>
      </c>
      <c r="BE26" s="102" t="str">
        <f t="shared" si="6"/>
        <v/>
      </c>
      <c r="BF26" s="108" t="str">
        <f t="shared" si="1"/>
        <v/>
      </c>
      <c r="BG26" s="102" t="e">
        <f t="shared" si="7"/>
        <v>#VALUE!</v>
      </c>
      <c r="BH26" s="108" t="str">
        <f t="shared" si="8"/>
        <v/>
      </c>
      <c r="BI26" s="173" t="str">
        <f>IF(AP26="","",
   IF(COUNTA(V26:AE26)&gt;=1,
      MAX(IFERROR(_xlfn.AGGREGATE(15,6,DISJUNTORES!$C$2:$C$100/(DISJUNTORES!$C$2:$C$100&gt;=BF26),1),""),25),
   IF(COUNTA(L26:U26)&gt;=1,
      MAX(IFERROR(_xlfn.AGGREGATE(15,6,DISJUNTORES!$C$2:$C$100/(DISJUNTORES!$C$2:$C$100&gt;=BF26),1),""),20),
   IF(COUNTA(A26:K26)&gt;=1,
      MAX(IFERROR(_xlfn.AGGREGATE(15,6,DISJUNTORES!$C$2:$C$100/(DISJUNTORES!$C$2:$C$100&gt;=BF26),1),""),16),
   IFERROR(_xlfn.AGGREGATE(15,6,DISJUNTORES!$C$2:$C$100/(DISJUNTORES!$C$2:$C$100&gt;=BF26),1),"")))))</f>
        <v/>
      </c>
      <c r="BJ26" s="107"/>
      <c r="BK26" s="107"/>
      <c r="BL26" s="107"/>
      <c r="BM26" s="109" t="str">
        <f t="shared" si="2"/>
        <v/>
      </c>
      <c r="BN26" s="109" t="str">
        <f t="shared" si="3"/>
        <v/>
      </c>
      <c r="BO26" s="109" t="str">
        <f t="shared" si="4"/>
        <v/>
      </c>
      <c r="BP26" s="104" t="str" cm="1">
        <f t="array" ref="BP26">IFERROR(
    INDEX(
        IF(AV26="PVC", 'CAP CONDUÇÃO 70º'!$A:$A, 'CAP CONDUÇÃO 90º'!$A:$A),
        IF(
            COUNTIF(
                IF(AV26="PVC",
                   CHOOSE(
                       MATCH(AU26,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MATCH(AU26,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BI26
            ) &gt; 0,
            MATCH(BI26,
                IF(AV26="PVC",
                   CHOOSE(
                       MATCH(AU26,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MATCH(AU26,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MATCH(BI26,
                IF(AV26="PVC",
                   CHOOSE(
                       MATCH(AU26,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MATCH(AU26,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26" s="166"/>
      <c r="BR26" s="166"/>
      <c r="BS26" s="165" t="str">
        <f ca="1">IFERROR(IF(BP26="","","3F#"&amp;BR26&amp;"mm²+N"&amp;VLOOKUP($BR$5,NEUTRO!$A:$B,2,0)&amp;"mm²+T"&amp;VLOOKUP($BR$5,TERRA!$A:$B,2,0)&amp;"mm²"),"")</f>
        <v/>
      </c>
      <c r="BT26" s="110"/>
      <c r="BU26" s="2"/>
    </row>
    <row r="27" spans="1:73" ht="36.5" hidden="1" thickBot="1" x14ac:dyDescent="0.4">
      <c r="A27" s="106">
        <v>23</v>
      </c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1" t="str">
        <f t="shared" si="9"/>
        <v/>
      </c>
      <c r="AQ27" s="108" t="str">
        <f t="shared" si="0"/>
        <v/>
      </c>
      <c r="AR27" s="109" t="str">
        <f t="shared" si="5"/>
        <v/>
      </c>
      <c r="AS27" s="107"/>
      <c r="AT27" s="170"/>
      <c r="AU27" s="107"/>
      <c r="AV27" s="107"/>
      <c r="AW27" s="107"/>
      <c r="AX27" s="107"/>
      <c r="AY27" s="172" t="s">
        <v>278</v>
      </c>
      <c r="AZ27" s="172" t="s">
        <v>262</v>
      </c>
      <c r="BA27" s="172" t="e">
        <f>INDEX(AGRUPAMENTO!C25:N29,MATCH(AY27,AGRUPAMENTO!B25:B29,0),MATCH(AZ27,AGRUPAMENTO!C24:N24,0))</f>
        <v>#N/A</v>
      </c>
      <c r="BB27" s="174" t="s">
        <v>254</v>
      </c>
      <c r="BC27" s="176">
        <v>30</v>
      </c>
      <c r="BD27" s="172" t="e">
        <f>IF(BB27="SUBTERRÂNEA",IF(AV27="PVC",VLOOKUP(BC27,TEMPERATURA!G24:H38,2,0),VLOOKUP(BC27,TEMPERATURA!G24:I38,3,0)),IF(AV27="PVC",VLOOKUP(BC27,TEMPERATURA!B24:C38,2,0),VLOOKUP(BC27,TEMPERATURA!B24:D38,3,0)))</f>
        <v>#N/A</v>
      </c>
      <c r="BE27" s="102" t="str">
        <f t="shared" si="6"/>
        <v/>
      </c>
      <c r="BF27" s="108" t="str">
        <f t="shared" si="1"/>
        <v/>
      </c>
      <c r="BG27" s="102" t="e">
        <f t="shared" si="7"/>
        <v>#VALUE!</v>
      </c>
      <c r="BH27" s="108" t="str">
        <f t="shared" si="8"/>
        <v/>
      </c>
      <c r="BI27" s="173" t="str">
        <f>IF(AP27="","",
   IF(COUNTA(V27:AE27)&gt;=1,
      MAX(IFERROR(_xlfn.AGGREGATE(15,6,DISJUNTORES!$C$2:$C$100/(DISJUNTORES!$C$2:$C$100&gt;=BF27),1),""),25),
   IF(COUNTA(L27:U27)&gt;=1,
      MAX(IFERROR(_xlfn.AGGREGATE(15,6,DISJUNTORES!$C$2:$C$100/(DISJUNTORES!$C$2:$C$100&gt;=BF27),1),""),20),
   IF(COUNTA(A27:K27)&gt;=1,
      MAX(IFERROR(_xlfn.AGGREGATE(15,6,DISJUNTORES!$C$2:$C$100/(DISJUNTORES!$C$2:$C$100&gt;=BF27),1),""),16),
   IFERROR(_xlfn.AGGREGATE(15,6,DISJUNTORES!$C$2:$C$100/(DISJUNTORES!$C$2:$C$100&gt;=BF27),1),"")))))</f>
        <v/>
      </c>
      <c r="BJ27" s="107"/>
      <c r="BK27" s="107"/>
      <c r="BL27" s="107"/>
      <c r="BM27" s="109" t="str">
        <f t="shared" si="2"/>
        <v/>
      </c>
      <c r="BN27" s="109" t="str">
        <f t="shared" si="3"/>
        <v/>
      </c>
      <c r="BO27" s="109" t="str">
        <f t="shared" si="4"/>
        <v/>
      </c>
      <c r="BP27" s="104" t="str" cm="1">
        <f t="array" ref="BP27">IFERROR(
    INDEX(
        IF(AV27="PVC", 'CAP CONDUÇÃO 70º'!$A:$A, 'CAP CONDUÇÃO 90º'!$A:$A),
        IF(
            COUNTIF(
                IF(AV27="PVC",
                   CHOOSE(
                       MATCH(AU27,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MATCH(AU27,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BI27
            ) &gt; 0,
            MATCH(BI27,
                IF(AV27="PVC",
                   CHOOSE(
                       MATCH(AU27,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MATCH(AU27,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MATCH(BI27,
                IF(AV27="PVC",
                   CHOOSE(
                       MATCH(AU27,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MATCH(AU27,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27" s="166"/>
      <c r="BR27" s="166"/>
      <c r="BS27" s="165" t="str">
        <f ca="1">IFERROR(IF(BP27="","","3F#"&amp;BR27&amp;"mm²+N"&amp;VLOOKUP($BR$5,NEUTRO!$A:$B,2,0)&amp;"mm²+T"&amp;VLOOKUP($BR$5,TERRA!$A:$B,2,0)&amp;"mm²"),"")</f>
        <v/>
      </c>
      <c r="BT27" s="110"/>
      <c r="BU27" s="2"/>
    </row>
    <row r="28" spans="1:73" ht="36.5" hidden="1" thickBot="1" x14ac:dyDescent="0.4">
      <c r="A28" s="106">
        <v>24</v>
      </c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1" t="str">
        <f t="shared" si="9"/>
        <v/>
      </c>
      <c r="AQ28" s="108" t="str">
        <f t="shared" si="0"/>
        <v/>
      </c>
      <c r="AR28" s="109" t="str">
        <f t="shared" si="5"/>
        <v/>
      </c>
      <c r="AS28" s="107"/>
      <c r="AT28" s="170"/>
      <c r="AU28" s="107"/>
      <c r="AV28" s="107"/>
      <c r="AW28" s="107"/>
      <c r="AX28" s="107"/>
      <c r="AY28" s="172" t="s">
        <v>278</v>
      </c>
      <c r="AZ28" s="172" t="s">
        <v>262</v>
      </c>
      <c r="BA28" s="172" t="e">
        <f>INDEX(AGRUPAMENTO!C26:N30,MATCH(AY28,AGRUPAMENTO!B26:B30,0),MATCH(AZ28,AGRUPAMENTO!C25:N25,0))</f>
        <v>#N/A</v>
      </c>
      <c r="BB28" s="174" t="s">
        <v>254</v>
      </c>
      <c r="BC28" s="176">
        <v>30</v>
      </c>
      <c r="BD28" s="172" t="e">
        <f>IF(BB28="SUBTERRÂNEA",IF(AV28="PVC",VLOOKUP(BC28,TEMPERATURA!G25:H39,2,0),VLOOKUP(BC28,TEMPERATURA!G25:I39,3,0)),IF(AV28="PVC",VLOOKUP(BC28,TEMPERATURA!B25:C39,2,0),VLOOKUP(BC28,TEMPERATURA!B25:D39,3,0)))</f>
        <v>#N/A</v>
      </c>
      <c r="BE28" s="102" t="str">
        <f t="shared" si="6"/>
        <v/>
      </c>
      <c r="BF28" s="108" t="str">
        <f t="shared" si="1"/>
        <v/>
      </c>
      <c r="BG28" s="102" t="e">
        <f t="shared" si="7"/>
        <v>#VALUE!</v>
      </c>
      <c r="BH28" s="108" t="str">
        <f t="shared" si="8"/>
        <v/>
      </c>
      <c r="BI28" s="173" t="str">
        <f>IF(AP28="","",
   IF(COUNTA(V28:AE28)&gt;=1,
      MAX(IFERROR(_xlfn.AGGREGATE(15,6,DISJUNTORES!$C$2:$C$100/(DISJUNTORES!$C$2:$C$100&gt;=BF28),1),""),25),
   IF(COUNTA(L28:U28)&gt;=1,
      MAX(IFERROR(_xlfn.AGGREGATE(15,6,DISJUNTORES!$C$2:$C$100/(DISJUNTORES!$C$2:$C$100&gt;=BF28),1),""),20),
   IF(COUNTA(A28:K28)&gt;=1,
      MAX(IFERROR(_xlfn.AGGREGATE(15,6,DISJUNTORES!$C$2:$C$100/(DISJUNTORES!$C$2:$C$100&gt;=BF28),1),""),16),
   IFERROR(_xlfn.AGGREGATE(15,6,DISJUNTORES!$C$2:$C$100/(DISJUNTORES!$C$2:$C$100&gt;=BF28),1),"")))))</f>
        <v/>
      </c>
      <c r="BJ28" s="107"/>
      <c r="BK28" s="107"/>
      <c r="BL28" s="107"/>
      <c r="BM28" s="109" t="str">
        <f t="shared" si="2"/>
        <v/>
      </c>
      <c r="BN28" s="109" t="str">
        <f t="shared" si="3"/>
        <v/>
      </c>
      <c r="BO28" s="109" t="str">
        <f t="shared" si="4"/>
        <v/>
      </c>
      <c r="BP28" s="104" t="str" cm="1">
        <f t="array" ref="BP28">IFERROR(
    INDEX(
        IF(AV28="PVC", 'CAP CONDUÇÃO 70º'!$A:$A, 'CAP CONDUÇÃO 90º'!$A:$A),
        IF(
            COUNTIF(
                IF(AV28="PVC",
                   CHOOSE(
                       MATCH(AU28,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MATCH(AU28,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BI28
            ) &gt; 0,
            MATCH(BI28,
                IF(AV28="PVC",
                   CHOOSE(
                       MATCH(AU28,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MATCH(AU28,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MATCH(BI28,
                IF(AV28="PVC",
                   CHOOSE(
                       MATCH(AU28,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MATCH(AU28,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28" s="166"/>
      <c r="BR28" s="166"/>
      <c r="BS28" s="165" t="str">
        <f ca="1">IFERROR(IF(BP28="","","3F#"&amp;BR28&amp;"mm²+N"&amp;VLOOKUP($BR$5,NEUTRO!$A:$B,2,0)&amp;"mm²+T"&amp;VLOOKUP($BR$5,TERRA!$A:$B,2,0)&amp;"mm²"),"")</f>
        <v/>
      </c>
      <c r="BT28" s="110"/>
      <c r="BU28" s="2"/>
    </row>
    <row r="29" spans="1:73" ht="36.5" hidden="1" thickBot="1" x14ac:dyDescent="0.4">
      <c r="A29" s="106">
        <v>25</v>
      </c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1" t="str">
        <f t="shared" si="9"/>
        <v/>
      </c>
      <c r="AQ29" s="108" t="str">
        <f t="shared" si="0"/>
        <v/>
      </c>
      <c r="AR29" s="109" t="str">
        <f t="shared" si="5"/>
        <v/>
      </c>
      <c r="AS29" s="107"/>
      <c r="AT29" s="170"/>
      <c r="AU29" s="107"/>
      <c r="AV29" s="107"/>
      <c r="AW29" s="107"/>
      <c r="AX29" s="107"/>
      <c r="AY29" s="172" t="s">
        <v>278</v>
      </c>
      <c r="AZ29" s="172" t="s">
        <v>262</v>
      </c>
      <c r="BA29" s="172" t="e">
        <f>INDEX(AGRUPAMENTO!C27:N31,MATCH(AY29,AGRUPAMENTO!B27:B31,0),MATCH(AZ29,AGRUPAMENTO!C26:N26,0))</f>
        <v>#N/A</v>
      </c>
      <c r="BB29" s="174" t="s">
        <v>254</v>
      </c>
      <c r="BC29" s="176">
        <v>30</v>
      </c>
      <c r="BD29" s="172" t="e">
        <f>IF(BB29="SUBTERRÂNEA",IF(AV29="PVC",VLOOKUP(BC29,TEMPERATURA!G26:H40,2,0),VLOOKUP(BC29,TEMPERATURA!G26:I40,3,0)),IF(AV29="PVC",VLOOKUP(BC29,TEMPERATURA!B26:C40,2,0),VLOOKUP(BC29,TEMPERATURA!B26:D40,3,0)))</f>
        <v>#N/A</v>
      </c>
      <c r="BE29" s="102" t="str">
        <f t="shared" si="6"/>
        <v/>
      </c>
      <c r="BF29" s="108" t="str">
        <f t="shared" si="1"/>
        <v/>
      </c>
      <c r="BG29" s="102" t="e">
        <f t="shared" si="7"/>
        <v>#VALUE!</v>
      </c>
      <c r="BH29" s="108" t="str">
        <f t="shared" si="8"/>
        <v/>
      </c>
      <c r="BI29" s="173" t="str">
        <f>IF(AP29="","",
   IF(COUNTA(V29:AE29)&gt;=1,
      MAX(IFERROR(_xlfn.AGGREGATE(15,6,DISJUNTORES!$C$2:$C$100/(DISJUNTORES!$C$2:$C$100&gt;=BF29),1),""),25),
   IF(COUNTA(L29:U29)&gt;=1,
      MAX(IFERROR(_xlfn.AGGREGATE(15,6,DISJUNTORES!$C$2:$C$100/(DISJUNTORES!$C$2:$C$100&gt;=BF29),1),""),20),
   IF(COUNTA(A29:K29)&gt;=1,
      MAX(IFERROR(_xlfn.AGGREGATE(15,6,DISJUNTORES!$C$2:$C$100/(DISJUNTORES!$C$2:$C$100&gt;=BF29),1),""),16),
   IFERROR(_xlfn.AGGREGATE(15,6,DISJUNTORES!$C$2:$C$100/(DISJUNTORES!$C$2:$C$100&gt;=BF29),1),"")))))</f>
        <v/>
      </c>
      <c r="BJ29" s="107"/>
      <c r="BK29" s="107"/>
      <c r="BL29" s="107"/>
      <c r="BM29" s="109" t="str">
        <f t="shared" si="2"/>
        <v/>
      </c>
      <c r="BN29" s="109" t="str">
        <f t="shared" si="3"/>
        <v/>
      </c>
      <c r="BO29" s="109" t="str">
        <f t="shared" si="4"/>
        <v/>
      </c>
      <c r="BP29" s="104" t="str" cm="1">
        <f t="array" ref="BP29">IFERROR(
    INDEX(
        IF(AV29="PVC", 'CAP CONDUÇÃO 70º'!$A:$A, 'CAP CONDUÇÃO 90º'!$A:$A),
        IF(
            COUNTIF(
                IF(AV29="PVC",
                   CHOOSE(
                       MATCH(AU29,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MATCH(AU29,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BI29
            ) &gt; 0,
            MATCH(BI29,
                IF(AV29="PVC",
                   CHOOSE(
                       MATCH(AU29,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MATCH(AU29,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MATCH(BI29,
                IF(AV29="PVC",
                   CHOOSE(
                       MATCH(AU29,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MATCH(AU29,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29" s="166"/>
      <c r="BR29" s="166"/>
      <c r="BS29" s="165" t="str">
        <f ca="1">IFERROR(IF(BP29="","","3F#"&amp;BR29&amp;"mm²+N"&amp;VLOOKUP($BR$5,NEUTRO!$A:$B,2,0)&amp;"mm²+T"&amp;VLOOKUP($BR$5,TERRA!$A:$B,2,0)&amp;"mm²"),"")</f>
        <v/>
      </c>
      <c r="BT29" s="110"/>
      <c r="BU29" s="2"/>
    </row>
    <row r="30" spans="1:73" ht="36.5" hidden="1" thickBot="1" x14ac:dyDescent="0.4">
      <c r="A30" s="106">
        <v>26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1" t="str">
        <f t="shared" si="9"/>
        <v/>
      </c>
      <c r="AQ30" s="108" t="str">
        <f t="shared" si="0"/>
        <v/>
      </c>
      <c r="AR30" s="109" t="str">
        <f t="shared" si="5"/>
        <v/>
      </c>
      <c r="AS30" s="107"/>
      <c r="AT30" s="170"/>
      <c r="AU30" s="107"/>
      <c r="AV30" s="107"/>
      <c r="AW30" s="107"/>
      <c r="AX30" s="107"/>
      <c r="AY30" s="172" t="s">
        <v>278</v>
      </c>
      <c r="AZ30" s="172" t="s">
        <v>262</v>
      </c>
      <c r="BA30" s="172" t="e">
        <f>INDEX(AGRUPAMENTO!C28:N32,MATCH(AY30,AGRUPAMENTO!B28:B32,0),MATCH(AZ30,AGRUPAMENTO!C27:N27,0))</f>
        <v>#N/A</v>
      </c>
      <c r="BB30" s="174" t="s">
        <v>254</v>
      </c>
      <c r="BC30" s="176">
        <v>30</v>
      </c>
      <c r="BD30" s="172" t="e">
        <f>IF(BB30="SUBTERRÂNEA",IF(AV30="PVC",VLOOKUP(BC30,TEMPERATURA!G27:H41,2,0),VLOOKUP(BC30,TEMPERATURA!G27:I41,3,0)),IF(AV30="PVC",VLOOKUP(BC30,TEMPERATURA!B27:C41,2,0),VLOOKUP(BC30,TEMPERATURA!B27:D41,3,0)))</f>
        <v>#N/A</v>
      </c>
      <c r="BE30" s="102" t="str">
        <f t="shared" si="6"/>
        <v/>
      </c>
      <c r="BF30" s="108" t="str">
        <f t="shared" si="1"/>
        <v/>
      </c>
      <c r="BG30" s="102" t="e">
        <f t="shared" si="7"/>
        <v>#VALUE!</v>
      </c>
      <c r="BH30" s="108" t="str">
        <f t="shared" si="8"/>
        <v/>
      </c>
      <c r="BI30" s="173" t="str">
        <f>IF(AP30="","",
   IF(COUNTA(V30:AE30)&gt;=1,
      MAX(IFERROR(_xlfn.AGGREGATE(15,6,DISJUNTORES!$C$2:$C$100/(DISJUNTORES!$C$2:$C$100&gt;=BF30),1),""),25),
   IF(COUNTA(L30:U30)&gt;=1,
      MAX(IFERROR(_xlfn.AGGREGATE(15,6,DISJUNTORES!$C$2:$C$100/(DISJUNTORES!$C$2:$C$100&gt;=BF30),1),""),20),
   IF(COUNTA(A30:K30)&gt;=1,
      MAX(IFERROR(_xlfn.AGGREGATE(15,6,DISJUNTORES!$C$2:$C$100/(DISJUNTORES!$C$2:$C$100&gt;=BF30),1),""),16),
   IFERROR(_xlfn.AGGREGATE(15,6,DISJUNTORES!$C$2:$C$100/(DISJUNTORES!$C$2:$C$100&gt;=BF30),1),"")))))</f>
        <v/>
      </c>
      <c r="BJ30" s="107"/>
      <c r="BK30" s="107"/>
      <c r="BL30" s="107"/>
      <c r="BM30" s="109" t="str">
        <f t="shared" si="2"/>
        <v/>
      </c>
      <c r="BN30" s="109" t="str">
        <f t="shared" si="3"/>
        <v/>
      </c>
      <c r="BO30" s="109" t="str">
        <f t="shared" si="4"/>
        <v/>
      </c>
      <c r="BP30" s="104" t="str" cm="1">
        <f t="array" ref="BP30">IFERROR(
    INDEX(
        IF(AV30="PVC", 'CAP CONDUÇÃO 70º'!$A:$A, 'CAP CONDUÇÃO 90º'!$A:$A),
        IF(
            COUNTIF(
                IF(AV30="PVC",
                   CHOOSE(
                       MATCH(AU30,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MATCH(AU30,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BI30
            ) &gt; 0,
            MATCH(BI30,
                IF(AV30="PVC",
                   CHOOSE(
                       MATCH(AU30,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MATCH(AU30,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MATCH(BI30,
                IF(AV30="PVC",
                   CHOOSE(
                       MATCH(AU30,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MATCH(AU30,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30" s="166"/>
      <c r="BR30" s="166"/>
      <c r="BS30" s="165" t="str">
        <f ca="1">IFERROR(IF(BP30="","","3F#"&amp;BR30&amp;"mm²+N"&amp;VLOOKUP($BR$5,NEUTRO!$A:$B,2,0)&amp;"mm²+T"&amp;VLOOKUP($BR$5,TERRA!$A:$B,2,0)&amp;"mm²"),"")</f>
        <v/>
      </c>
      <c r="BT30" s="110"/>
      <c r="BU30" s="2"/>
    </row>
    <row r="31" spans="1:73" ht="36.5" hidden="1" thickBot="1" x14ac:dyDescent="0.4">
      <c r="A31" s="106">
        <v>27</v>
      </c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1" t="str">
        <f t="shared" si="9"/>
        <v/>
      </c>
      <c r="AQ31" s="108" t="str">
        <f t="shared" si="0"/>
        <v/>
      </c>
      <c r="AR31" s="109" t="str">
        <f t="shared" si="5"/>
        <v/>
      </c>
      <c r="AS31" s="107"/>
      <c r="AT31" s="170"/>
      <c r="AU31" s="107"/>
      <c r="AV31" s="107"/>
      <c r="AW31" s="107"/>
      <c r="AX31" s="107"/>
      <c r="AY31" s="172" t="s">
        <v>278</v>
      </c>
      <c r="AZ31" s="172" t="s">
        <v>262</v>
      </c>
      <c r="BA31" s="172" t="e">
        <f>INDEX(AGRUPAMENTO!C29:N33,MATCH(AY31,AGRUPAMENTO!B29:B33,0),MATCH(AZ31,AGRUPAMENTO!C28:N28,0))</f>
        <v>#N/A</v>
      </c>
      <c r="BB31" s="174" t="s">
        <v>254</v>
      </c>
      <c r="BC31" s="176">
        <v>30</v>
      </c>
      <c r="BD31" s="172" t="e">
        <f>IF(BB31="SUBTERRÂNEA",IF(AV31="PVC",VLOOKUP(BC31,TEMPERATURA!G28:H42,2,0),VLOOKUP(BC31,TEMPERATURA!G28:I42,3,0)),IF(AV31="PVC",VLOOKUP(BC31,TEMPERATURA!B28:C42,2,0),VLOOKUP(BC31,TEMPERATURA!B28:D42,3,0)))</f>
        <v>#N/A</v>
      </c>
      <c r="BE31" s="102" t="str">
        <f t="shared" si="6"/>
        <v/>
      </c>
      <c r="BF31" s="108" t="str">
        <f t="shared" si="1"/>
        <v/>
      </c>
      <c r="BG31" s="102" t="e">
        <f t="shared" si="7"/>
        <v>#VALUE!</v>
      </c>
      <c r="BH31" s="108" t="str">
        <f t="shared" si="8"/>
        <v/>
      </c>
      <c r="BI31" s="173" t="str">
        <f>IF(AP31="","",
   IF(COUNTA(V31:AE31)&gt;=1,
      MAX(IFERROR(_xlfn.AGGREGATE(15,6,DISJUNTORES!$C$2:$C$100/(DISJUNTORES!$C$2:$C$100&gt;=BF31),1),""),25),
   IF(COUNTA(L31:U31)&gt;=1,
      MAX(IFERROR(_xlfn.AGGREGATE(15,6,DISJUNTORES!$C$2:$C$100/(DISJUNTORES!$C$2:$C$100&gt;=BF31),1),""),20),
   IF(COUNTA(A31:K31)&gt;=1,
      MAX(IFERROR(_xlfn.AGGREGATE(15,6,DISJUNTORES!$C$2:$C$100/(DISJUNTORES!$C$2:$C$100&gt;=BF31),1),""),16),
   IFERROR(_xlfn.AGGREGATE(15,6,DISJUNTORES!$C$2:$C$100/(DISJUNTORES!$C$2:$C$100&gt;=BF31),1),"")))))</f>
        <v/>
      </c>
      <c r="BJ31" s="107"/>
      <c r="BK31" s="107"/>
      <c r="BL31" s="107"/>
      <c r="BM31" s="109" t="str">
        <f t="shared" si="2"/>
        <v/>
      </c>
      <c r="BN31" s="109" t="str">
        <f t="shared" si="3"/>
        <v/>
      </c>
      <c r="BO31" s="109" t="str">
        <f t="shared" si="4"/>
        <v/>
      </c>
      <c r="BP31" s="104" t="str" cm="1">
        <f t="array" ref="BP31">IFERROR(
    INDEX(
        IF(AV31="PVC", 'CAP CONDUÇÃO 70º'!$A:$A, 'CAP CONDUÇÃO 90º'!$A:$A),
        IF(
            COUNTIF(
                IF(AV31="PVC",
                   CHOOSE(
                       MATCH(AU31,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MATCH(AU31,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BI31
            ) &gt; 0,
            MATCH(BI31,
                IF(AV31="PVC",
                   CHOOSE(
                       MATCH(AU31,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MATCH(AU31,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MATCH(BI31,
                IF(AV31="PVC",
                   CHOOSE(
                       MATCH(AU31,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MATCH(AU31,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31" s="166"/>
      <c r="BR31" s="166"/>
      <c r="BS31" s="165" t="str">
        <f ca="1">IFERROR(IF(BP31="","","3F#"&amp;BR31&amp;"mm²+N"&amp;VLOOKUP($BR$5,NEUTRO!$A:$B,2,0)&amp;"mm²+T"&amp;VLOOKUP($BR$5,TERRA!$A:$B,2,0)&amp;"mm²"),"")</f>
        <v/>
      </c>
      <c r="BT31" s="110"/>
      <c r="BU31" s="2"/>
    </row>
    <row r="32" spans="1:73" ht="36.5" hidden="1" thickBot="1" x14ac:dyDescent="0.4">
      <c r="A32" s="106">
        <v>28</v>
      </c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1" t="str">
        <f t="shared" si="9"/>
        <v/>
      </c>
      <c r="AQ32" s="108" t="str">
        <f t="shared" si="0"/>
        <v/>
      </c>
      <c r="AR32" s="109" t="str">
        <f t="shared" si="5"/>
        <v/>
      </c>
      <c r="AS32" s="107"/>
      <c r="AT32" s="170"/>
      <c r="AU32" s="107"/>
      <c r="AV32" s="107"/>
      <c r="AW32" s="107"/>
      <c r="AX32" s="107"/>
      <c r="AY32" s="172" t="s">
        <v>278</v>
      </c>
      <c r="AZ32" s="172" t="s">
        <v>262</v>
      </c>
      <c r="BA32" s="172" t="e">
        <f>INDEX(AGRUPAMENTO!C30:N34,MATCH(AY32,AGRUPAMENTO!B30:B34,0),MATCH(AZ32,AGRUPAMENTO!C29:N29,0))</f>
        <v>#N/A</v>
      </c>
      <c r="BB32" s="174" t="s">
        <v>254</v>
      </c>
      <c r="BC32" s="176">
        <v>30</v>
      </c>
      <c r="BD32" s="172" t="e">
        <f>IF(BB32="SUBTERRÂNEA",IF(AV32="PVC",VLOOKUP(BC32,TEMPERATURA!G29:H43,2,0),VLOOKUP(BC32,TEMPERATURA!G29:I43,3,0)),IF(AV32="PVC",VLOOKUP(BC32,TEMPERATURA!B29:C43,2,0),VLOOKUP(BC32,TEMPERATURA!B29:D43,3,0)))</f>
        <v>#N/A</v>
      </c>
      <c r="BE32" s="102" t="str">
        <f t="shared" si="6"/>
        <v/>
      </c>
      <c r="BF32" s="108" t="str">
        <f t="shared" si="1"/>
        <v/>
      </c>
      <c r="BG32" s="102" t="e">
        <f t="shared" si="7"/>
        <v>#VALUE!</v>
      </c>
      <c r="BH32" s="108" t="str">
        <f t="shared" si="8"/>
        <v/>
      </c>
      <c r="BI32" s="173" t="str">
        <f>IF(AP32="","",
   IF(COUNTA(V32:AE32)&gt;=1,
      MAX(IFERROR(_xlfn.AGGREGATE(15,6,DISJUNTORES!$C$2:$C$100/(DISJUNTORES!$C$2:$C$100&gt;=BF32),1),""),25),
   IF(COUNTA(L32:U32)&gt;=1,
      MAX(IFERROR(_xlfn.AGGREGATE(15,6,DISJUNTORES!$C$2:$C$100/(DISJUNTORES!$C$2:$C$100&gt;=BF32),1),""),20),
   IF(COUNTA(A32:K32)&gt;=1,
      MAX(IFERROR(_xlfn.AGGREGATE(15,6,DISJUNTORES!$C$2:$C$100/(DISJUNTORES!$C$2:$C$100&gt;=BF32),1),""),16),
   IFERROR(_xlfn.AGGREGATE(15,6,DISJUNTORES!$C$2:$C$100/(DISJUNTORES!$C$2:$C$100&gt;=BF32),1),"")))))</f>
        <v/>
      </c>
      <c r="BJ32" s="107"/>
      <c r="BK32" s="107"/>
      <c r="BL32" s="107"/>
      <c r="BM32" s="109" t="str">
        <f t="shared" si="2"/>
        <v/>
      </c>
      <c r="BN32" s="109" t="str">
        <f t="shared" si="3"/>
        <v/>
      </c>
      <c r="BO32" s="109" t="str">
        <f t="shared" si="4"/>
        <v/>
      </c>
      <c r="BP32" s="104" t="str" cm="1">
        <f t="array" ref="BP32">IFERROR(
    INDEX(
        IF(AV32="PVC", 'CAP CONDUÇÃO 70º'!$A:$A, 'CAP CONDUÇÃO 90º'!$A:$A),
        IF(
            COUNTIF(
                IF(AV32="PVC",
                   CHOOSE(
                       MATCH(AU32,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MATCH(AU32,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BI32
            ) &gt; 0,
            MATCH(BI32,
                IF(AV32="PVC",
                   CHOOSE(
                       MATCH(AU32,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MATCH(AU32,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MATCH(BI32,
                IF(AV32="PVC",
                   CHOOSE(
                       MATCH(AU32,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MATCH(AU32,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32" s="166"/>
      <c r="BR32" s="166"/>
      <c r="BS32" s="165" t="str">
        <f ca="1">IFERROR(IF(BP32="","","3F#"&amp;BR32&amp;"mm²+N"&amp;VLOOKUP($BR$5,NEUTRO!$A:$B,2,0)&amp;"mm²+T"&amp;VLOOKUP($BR$5,TERRA!$A:$B,2,0)&amp;"mm²"),"")</f>
        <v/>
      </c>
      <c r="BT32" s="110"/>
      <c r="BU32" s="2"/>
    </row>
    <row r="33" spans="1:73" ht="36.5" hidden="1" thickBot="1" x14ac:dyDescent="0.4">
      <c r="A33" s="106">
        <v>29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1" t="str">
        <f t="shared" si="9"/>
        <v/>
      </c>
      <c r="AQ33" s="108" t="str">
        <f t="shared" si="0"/>
        <v/>
      </c>
      <c r="AR33" s="109" t="str">
        <f t="shared" si="5"/>
        <v/>
      </c>
      <c r="AS33" s="107"/>
      <c r="AT33" s="170"/>
      <c r="AU33" s="107"/>
      <c r="AV33" s="107"/>
      <c r="AW33" s="107"/>
      <c r="AX33" s="107"/>
      <c r="AY33" s="172" t="s">
        <v>278</v>
      </c>
      <c r="AZ33" s="172" t="s">
        <v>262</v>
      </c>
      <c r="BA33" s="172" t="e">
        <f>INDEX(AGRUPAMENTO!C31:N35,MATCH(AY33,AGRUPAMENTO!B31:B35,0),MATCH(AZ33,AGRUPAMENTO!C30:N30,0))</f>
        <v>#N/A</v>
      </c>
      <c r="BB33" s="174" t="s">
        <v>254</v>
      </c>
      <c r="BC33" s="176">
        <v>30</v>
      </c>
      <c r="BD33" s="172" t="e">
        <f>IF(BB33="SUBTERRÂNEA",IF(AV33="PVC",VLOOKUP(BC33,TEMPERATURA!G30:H44,2,0),VLOOKUP(BC33,TEMPERATURA!G30:I44,3,0)),IF(AV33="PVC",VLOOKUP(BC33,TEMPERATURA!B30:C44,2,0),VLOOKUP(BC33,TEMPERATURA!B30:D44,3,0)))</f>
        <v>#N/A</v>
      </c>
      <c r="BE33" s="102" t="str">
        <f t="shared" si="6"/>
        <v/>
      </c>
      <c r="BF33" s="108" t="str">
        <f t="shared" si="1"/>
        <v/>
      </c>
      <c r="BG33" s="102" t="e">
        <f t="shared" si="7"/>
        <v>#VALUE!</v>
      </c>
      <c r="BH33" s="108" t="str">
        <f t="shared" si="8"/>
        <v/>
      </c>
      <c r="BI33" s="173" t="str">
        <f>IF(AP33="","",
   IF(COUNTA(V33:AE33)&gt;=1,
      MAX(IFERROR(_xlfn.AGGREGATE(15,6,DISJUNTORES!$C$2:$C$100/(DISJUNTORES!$C$2:$C$100&gt;=BF33),1),""),25),
   IF(COUNTA(L33:U33)&gt;=1,
      MAX(IFERROR(_xlfn.AGGREGATE(15,6,DISJUNTORES!$C$2:$C$100/(DISJUNTORES!$C$2:$C$100&gt;=BF33),1),""),20),
   IF(COUNTA(A33:K33)&gt;=1,
      MAX(IFERROR(_xlfn.AGGREGATE(15,6,DISJUNTORES!$C$2:$C$100/(DISJUNTORES!$C$2:$C$100&gt;=BF33),1),""),16),
   IFERROR(_xlfn.AGGREGATE(15,6,DISJUNTORES!$C$2:$C$100/(DISJUNTORES!$C$2:$C$100&gt;=BF33),1),"")))))</f>
        <v/>
      </c>
      <c r="BJ33" s="107"/>
      <c r="BK33" s="107"/>
      <c r="BL33" s="107"/>
      <c r="BM33" s="109" t="str">
        <f t="shared" si="2"/>
        <v/>
      </c>
      <c r="BN33" s="109" t="str">
        <f t="shared" si="3"/>
        <v/>
      </c>
      <c r="BO33" s="109" t="str">
        <f t="shared" si="4"/>
        <v/>
      </c>
      <c r="BP33" s="104" t="str" cm="1">
        <f t="array" ref="BP33">IFERROR(
    INDEX(
        IF(AV33="PVC", 'CAP CONDUÇÃO 70º'!$A:$A, 'CAP CONDUÇÃO 90º'!$A:$A),
        IF(
            COUNTIF(
                IF(AV33="PVC",
                   CHOOSE(
                       MATCH(AU33,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MATCH(AU33,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BI33
            ) &gt; 0,
            MATCH(BI33,
                IF(AV33="PVC",
                   CHOOSE(
                       MATCH(AU33,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MATCH(AU33,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MATCH(BI33,
                IF(AV33="PVC",
                   CHOOSE(
                       MATCH(AU33,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MATCH(AU33,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33" s="166"/>
      <c r="BR33" s="166"/>
      <c r="BS33" s="165" t="str">
        <f ca="1">IFERROR(IF(BP33="","","3F#"&amp;BR33&amp;"mm²+N"&amp;VLOOKUP($BR$5,NEUTRO!$A:$B,2,0)&amp;"mm²+T"&amp;VLOOKUP($BR$5,TERRA!$A:$B,2,0)&amp;"mm²"),"")</f>
        <v/>
      </c>
      <c r="BT33" s="110"/>
      <c r="BU33" s="2"/>
    </row>
    <row r="34" spans="1:73" ht="36.5" hidden="1" thickBot="1" x14ac:dyDescent="0.4">
      <c r="A34" s="106">
        <v>30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1" t="str">
        <f t="shared" si="9"/>
        <v/>
      </c>
      <c r="AQ34" s="108" t="str">
        <f t="shared" si="0"/>
        <v/>
      </c>
      <c r="AR34" s="109" t="str">
        <f t="shared" si="5"/>
        <v/>
      </c>
      <c r="AS34" s="107"/>
      <c r="AT34" s="170"/>
      <c r="AU34" s="107"/>
      <c r="AV34" s="107"/>
      <c r="AW34" s="107"/>
      <c r="AX34" s="107"/>
      <c r="AY34" s="172" t="s">
        <v>278</v>
      </c>
      <c r="AZ34" s="172" t="s">
        <v>262</v>
      </c>
      <c r="BA34" s="172" t="e">
        <f>INDEX(AGRUPAMENTO!C32:N36,MATCH(AY34,AGRUPAMENTO!B32:B36,0),MATCH(AZ34,AGRUPAMENTO!C31:N31,0))</f>
        <v>#N/A</v>
      </c>
      <c r="BB34" s="174" t="s">
        <v>254</v>
      </c>
      <c r="BC34" s="176">
        <v>30</v>
      </c>
      <c r="BD34" s="172" t="e">
        <f>IF(BB34="SUBTERRÂNEA",IF(AV34="PVC",VLOOKUP(BC34,TEMPERATURA!G31:H45,2,0),VLOOKUP(BC34,TEMPERATURA!G31:I45,3,0)),IF(AV34="PVC",VLOOKUP(BC34,TEMPERATURA!B31:C45,2,0),VLOOKUP(BC34,TEMPERATURA!B31:D45,3,0)))</f>
        <v>#N/A</v>
      </c>
      <c r="BE34" s="102" t="str">
        <f t="shared" si="6"/>
        <v/>
      </c>
      <c r="BF34" s="108" t="str">
        <f t="shared" si="1"/>
        <v/>
      </c>
      <c r="BG34" s="102" t="e">
        <f t="shared" si="7"/>
        <v>#VALUE!</v>
      </c>
      <c r="BH34" s="108" t="str">
        <f t="shared" si="8"/>
        <v/>
      </c>
      <c r="BI34" s="173" t="str">
        <f>IF(AP34="","",
   IF(COUNTA(V34:AE34)&gt;=1,
      MAX(IFERROR(_xlfn.AGGREGATE(15,6,DISJUNTORES!$C$2:$C$100/(DISJUNTORES!$C$2:$C$100&gt;=BF34),1),""),25),
   IF(COUNTA(L34:U34)&gt;=1,
      MAX(IFERROR(_xlfn.AGGREGATE(15,6,DISJUNTORES!$C$2:$C$100/(DISJUNTORES!$C$2:$C$100&gt;=BF34),1),""),20),
   IF(COUNTA(A34:K34)&gt;=1,
      MAX(IFERROR(_xlfn.AGGREGATE(15,6,DISJUNTORES!$C$2:$C$100/(DISJUNTORES!$C$2:$C$100&gt;=BF34),1),""),16),
   IFERROR(_xlfn.AGGREGATE(15,6,DISJUNTORES!$C$2:$C$100/(DISJUNTORES!$C$2:$C$100&gt;=BF34),1),"")))))</f>
        <v/>
      </c>
      <c r="BJ34" s="107"/>
      <c r="BK34" s="107"/>
      <c r="BL34" s="107"/>
      <c r="BM34" s="109" t="str">
        <f t="shared" si="2"/>
        <v/>
      </c>
      <c r="BN34" s="109" t="str">
        <f t="shared" si="3"/>
        <v/>
      </c>
      <c r="BO34" s="109" t="str">
        <f t="shared" si="4"/>
        <v/>
      </c>
      <c r="BP34" s="104" t="str" cm="1">
        <f t="array" ref="BP34">IFERROR(
    INDEX(
        IF(AV34="PVC", 'CAP CONDUÇÃO 70º'!$A:$A, 'CAP CONDUÇÃO 90º'!$A:$A),
        IF(
            COUNTIF(
                IF(AV34="PVC",
                   CHOOSE(
                       MATCH(AU34,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MATCH(AU34,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BI34
            ) &gt; 0,
            MATCH(BI34,
                IF(AV34="PVC",
                   CHOOSE(
                       MATCH(AU34,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MATCH(AU34,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MATCH(BI34,
                IF(AV34="PVC",
                   CHOOSE(
                       MATCH(AU34,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MATCH(AU34,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34" s="166"/>
      <c r="BR34" s="166"/>
      <c r="BS34" s="165" t="str">
        <f ca="1">IFERROR(IF(BP34="","","3F#"&amp;BR34&amp;"mm²+N"&amp;VLOOKUP($BR$5,NEUTRO!$A:$B,2,0)&amp;"mm²+T"&amp;VLOOKUP($BR$5,TERRA!$A:$B,2,0)&amp;"mm²"),"")</f>
        <v/>
      </c>
      <c r="BT34" s="110"/>
      <c r="BU34" s="2"/>
    </row>
    <row r="35" spans="1:73" ht="36.5" hidden="1" thickBot="1" x14ac:dyDescent="0.4">
      <c r="A35" s="106">
        <v>31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1" t="str">
        <f t="shared" si="9"/>
        <v/>
      </c>
      <c r="AQ35" s="108" t="str">
        <f t="shared" si="0"/>
        <v/>
      </c>
      <c r="AR35" s="109" t="str">
        <f t="shared" si="5"/>
        <v/>
      </c>
      <c r="AS35" s="107"/>
      <c r="AT35" s="170"/>
      <c r="AU35" s="107"/>
      <c r="AV35" s="107"/>
      <c r="AW35" s="107"/>
      <c r="AX35" s="107"/>
      <c r="AY35" s="172" t="s">
        <v>278</v>
      </c>
      <c r="AZ35" s="172" t="s">
        <v>262</v>
      </c>
      <c r="BA35" s="172" t="e">
        <f>INDEX(AGRUPAMENTO!C33:N37,MATCH(AY35,AGRUPAMENTO!B33:B37,0),MATCH(AZ35,AGRUPAMENTO!C32:N32,0))</f>
        <v>#N/A</v>
      </c>
      <c r="BB35" s="174" t="s">
        <v>254</v>
      </c>
      <c r="BC35" s="176">
        <v>30</v>
      </c>
      <c r="BD35" s="172" t="e">
        <f>IF(BB35="SUBTERRÂNEA",IF(AV35="PVC",VLOOKUP(BC35,TEMPERATURA!G32:H46,2,0),VLOOKUP(BC35,TEMPERATURA!G32:I46,3,0)),IF(AV35="PVC",VLOOKUP(BC35,TEMPERATURA!B32:C46,2,0),VLOOKUP(BC35,TEMPERATURA!B32:D46,3,0)))</f>
        <v>#N/A</v>
      </c>
      <c r="BE35" s="102" t="str">
        <f t="shared" si="6"/>
        <v/>
      </c>
      <c r="BF35" s="108" t="str">
        <f t="shared" si="1"/>
        <v/>
      </c>
      <c r="BG35" s="102" t="e">
        <f t="shared" si="7"/>
        <v>#VALUE!</v>
      </c>
      <c r="BH35" s="108" t="str">
        <f t="shared" si="8"/>
        <v/>
      </c>
      <c r="BI35" s="173" t="str">
        <f>IF(AP35="","",
   IF(COUNTA(V35:AE35)&gt;=1,
      MAX(IFERROR(_xlfn.AGGREGATE(15,6,DISJUNTORES!$C$2:$C$100/(DISJUNTORES!$C$2:$C$100&gt;=BF35),1),""),25),
   IF(COUNTA(L35:U35)&gt;=1,
      MAX(IFERROR(_xlfn.AGGREGATE(15,6,DISJUNTORES!$C$2:$C$100/(DISJUNTORES!$C$2:$C$100&gt;=BF35),1),""),20),
   IF(COUNTA(A35:K35)&gt;=1,
      MAX(IFERROR(_xlfn.AGGREGATE(15,6,DISJUNTORES!$C$2:$C$100/(DISJUNTORES!$C$2:$C$100&gt;=BF35),1),""),16),
   IFERROR(_xlfn.AGGREGATE(15,6,DISJUNTORES!$C$2:$C$100/(DISJUNTORES!$C$2:$C$100&gt;=BF35),1),"")))))</f>
        <v/>
      </c>
      <c r="BJ35" s="107"/>
      <c r="BK35" s="107"/>
      <c r="BL35" s="107"/>
      <c r="BM35" s="109" t="str">
        <f t="shared" si="2"/>
        <v/>
      </c>
      <c r="BN35" s="109" t="str">
        <f t="shared" si="3"/>
        <v/>
      </c>
      <c r="BO35" s="109" t="str">
        <f t="shared" si="4"/>
        <v/>
      </c>
      <c r="BP35" s="104" t="str" cm="1">
        <f t="array" ref="BP35">IFERROR(
    INDEX(
        IF(AV35="PVC", 'CAP CONDUÇÃO 70º'!$A:$A, 'CAP CONDUÇÃO 90º'!$A:$A),
        IF(
            COUNTIF(
                IF(AV35="PVC",
                   CHOOSE(
                       MATCH(AU35,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MATCH(AU35,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BI35
            ) &gt; 0,
            MATCH(BI35,
                IF(AV35="PVC",
                   CHOOSE(
                       MATCH(AU35,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MATCH(AU35,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MATCH(BI35,
                IF(AV35="PVC",
                   CHOOSE(
                       MATCH(AU35,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MATCH(AU35,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35" s="166"/>
      <c r="BR35" s="166"/>
      <c r="BS35" s="165" t="str">
        <f ca="1">IFERROR(IF(BP35="","","3F#"&amp;BR35&amp;"mm²+N"&amp;VLOOKUP($BR$5,NEUTRO!$A:$B,2,0)&amp;"mm²+T"&amp;VLOOKUP($BR$5,TERRA!$A:$B,2,0)&amp;"mm²"),"")</f>
        <v/>
      </c>
      <c r="BT35" s="110"/>
      <c r="BU35" s="2"/>
    </row>
    <row r="36" spans="1:73" ht="36.5" hidden="1" thickBot="1" x14ac:dyDescent="0.4">
      <c r="A36" s="106">
        <v>32</v>
      </c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1" t="str">
        <f t="shared" si="9"/>
        <v/>
      </c>
      <c r="AQ36" s="108" t="str">
        <f t="shared" si="0"/>
        <v/>
      </c>
      <c r="AR36" s="109" t="str">
        <f t="shared" si="5"/>
        <v/>
      </c>
      <c r="AS36" s="107"/>
      <c r="AT36" s="170"/>
      <c r="AU36" s="107"/>
      <c r="AV36" s="107"/>
      <c r="AW36" s="107"/>
      <c r="AX36" s="107"/>
      <c r="AY36" s="172" t="s">
        <v>278</v>
      </c>
      <c r="AZ36" s="172" t="s">
        <v>262</v>
      </c>
      <c r="BA36" s="172" t="e">
        <f>INDEX(AGRUPAMENTO!C34:N38,MATCH(AY36,AGRUPAMENTO!B34:B38,0),MATCH(AZ36,AGRUPAMENTO!C33:N33,0))</f>
        <v>#N/A</v>
      </c>
      <c r="BB36" s="174" t="s">
        <v>254</v>
      </c>
      <c r="BC36" s="176">
        <v>30</v>
      </c>
      <c r="BD36" s="172" t="e">
        <f>IF(BB36="SUBTERRÂNEA",IF(AV36="PVC",VLOOKUP(BC36,TEMPERATURA!G33:H47,2,0),VLOOKUP(BC36,TEMPERATURA!G33:I47,3,0)),IF(AV36="PVC",VLOOKUP(BC36,TEMPERATURA!B33:C47,2,0),VLOOKUP(BC36,TEMPERATURA!B33:D47,3,0)))</f>
        <v>#N/A</v>
      </c>
      <c r="BE36" s="102" t="str">
        <f t="shared" si="6"/>
        <v/>
      </c>
      <c r="BF36" s="108" t="str">
        <f t="shared" si="1"/>
        <v/>
      </c>
      <c r="BG36" s="102" t="e">
        <f t="shared" si="7"/>
        <v>#VALUE!</v>
      </c>
      <c r="BH36" s="108" t="str">
        <f t="shared" si="8"/>
        <v/>
      </c>
      <c r="BI36" s="173" t="str">
        <f>IF(AP36="","",
   IF(COUNTA(V36:AE36)&gt;=1,
      MAX(IFERROR(_xlfn.AGGREGATE(15,6,DISJUNTORES!$C$2:$C$100/(DISJUNTORES!$C$2:$C$100&gt;=BF36),1),""),25),
   IF(COUNTA(L36:U36)&gt;=1,
      MAX(IFERROR(_xlfn.AGGREGATE(15,6,DISJUNTORES!$C$2:$C$100/(DISJUNTORES!$C$2:$C$100&gt;=BF36),1),""),20),
   IF(COUNTA(A36:K36)&gt;=1,
      MAX(IFERROR(_xlfn.AGGREGATE(15,6,DISJUNTORES!$C$2:$C$100/(DISJUNTORES!$C$2:$C$100&gt;=BF36),1),""),16),
   IFERROR(_xlfn.AGGREGATE(15,6,DISJUNTORES!$C$2:$C$100/(DISJUNTORES!$C$2:$C$100&gt;=BF36),1),"")))))</f>
        <v/>
      </c>
      <c r="BJ36" s="107"/>
      <c r="BK36" s="107"/>
      <c r="BL36" s="107"/>
      <c r="BM36" s="109" t="str">
        <f t="shared" si="2"/>
        <v/>
      </c>
      <c r="BN36" s="109" t="str">
        <f t="shared" si="3"/>
        <v/>
      </c>
      <c r="BO36" s="109" t="str">
        <f t="shared" si="4"/>
        <v/>
      </c>
      <c r="BP36" s="104" t="str" cm="1">
        <f t="array" ref="BP36">IFERROR(
    INDEX(
        IF(AV36="PVC", 'CAP CONDUÇÃO 70º'!$A:$A, 'CAP CONDUÇÃO 90º'!$A:$A),
        IF(
            COUNTIF(
                IF(AV36="PVC",
                   CHOOSE(
                       MATCH(AU36,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MATCH(AU36,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BI36
            ) &gt; 0,
            MATCH(BI36,
                IF(AV36="PVC",
                   CHOOSE(
                       MATCH(AU36,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MATCH(AU36,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MATCH(BI36,
                IF(AV36="PVC",
                   CHOOSE(
                       MATCH(AU36,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MATCH(AU36,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36" s="166"/>
      <c r="BR36" s="166"/>
      <c r="BS36" s="165" t="str">
        <f ca="1">IFERROR(IF(BP36="","","3F#"&amp;BR36&amp;"mm²+N"&amp;VLOOKUP($BR$5,NEUTRO!$A:$B,2,0)&amp;"mm²+T"&amp;VLOOKUP($BR$5,TERRA!$A:$B,2,0)&amp;"mm²"),"")</f>
        <v/>
      </c>
      <c r="BT36" s="110"/>
      <c r="BU36" s="2"/>
    </row>
    <row r="37" spans="1:73" ht="36.5" hidden="1" thickBot="1" x14ac:dyDescent="0.4">
      <c r="A37" s="106">
        <v>33</v>
      </c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  <c r="AO37" s="107"/>
      <c r="AP37" s="101" t="str">
        <f t="shared" si="9"/>
        <v/>
      </c>
      <c r="AQ37" s="108" t="str">
        <f t="shared" si="0"/>
        <v/>
      </c>
      <c r="AR37" s="109" t="str">
        <f t="shared" si="5"/>
        <v/>
      </c>
      <c r="AS37" s="107"/>
      <c r="AT37" s="170"/>
      <c r="AU37" s="107"/>
      <c r="AV37" s="107"/>
      <c r="AW37" s="107"/>
      <c r="AX37" s="107"/>
      <c r="AY37" s="172" t="s">
        <v>278</v>
      </c>
      <c r="AZ37" s="172" t="s">
        <v>262</v>
      </c>
      <c r="BA37" s="172" t="e">
        <f>INDEX(AGRUPAMENTO!C35:N39,MATCH(AY37,AGRUPAMENTO!B35:B39,0),MATCH(AZ37,AGRUPAMENTO!C34:N34,0))</f>
        <v>#N/A</v>
      </c>
      <c r="BB37" s="174" t="s">
        <v>254</v>
      </c>
      <c r="BC37" s="176">
        <v>30</v>
      </c>
      <c r="BD37" s="172" t="e">
        <f>IF(BB37="SUBTERRÂNEA",IF(AV37="PVC",VLOOKUP(BC37,TEMPERATURA!G34:H48,2,0),VLOOKUP(BC37,TEMPERATURA!G34:I48,3,0)),IF(AV37="PVC",VLOOKUP(BC37,TEMPERATURA!B34:C48,2,0),VLOOKUP(BC37,TEMPERATURA!B34:D48,3,0)))</f>
        <v>#N/A</v>
      </c>
      <c r="BE37" s="102" t="str">
        <f t="shared" ref="BE37:BE68" si="10">IF(
   AP37="",
   "",
   _xlfn.IFS(
      $BI$111="127/220",
      IF(
         BH37=1,
         127,
         IF(
            BH37=2,
            ROUND(127*SQRT(3),0),
            IF(
               BH37=3,
               ROUND(127*SQRT(3),0),
               ""
            )
         )
      ),
      $BI$111="220/380",
      IF(
         BH37=1,
         220,
         IF(
            BH37=2,
            ROUND(220*SQRT(3),0)-1,
            IF(
               BH37=3,
               ROUND(220*SQRT(3),0)-1,
               ""
            )
         )
      ),
      $BI$111="254/440",
      IF(
         BH37=1,
         254,
         IF(
            BH37=2,
            ROUND(254*SQRT(3),0),
            IF(
               BH37=3,
               ROUND(254*SQRT(3),0),
               ""
            )
         )
      )
   )
)</f>
        <v/>
      </c>
      <c r="BF37" s="108" t="str">
        <f t="shared" ref="BF37:BF68" si="11">IF(AP37="","",ROUND(AR37/IF(BH37=1,127,IF(BH37=2,220,IF(BH37=3,381,""))),1))</f>
        <v/>
      </c>
      <c r="BG37" s="102" t="e">
        <f t="shared" si="7"/>
        <v>#VALUE!</v>
      </c>
      <c r="BH37" s="108" t="str">
        <f t="shared" si="8"/>
        <v/>
      </c>
      <c r="BI37" s="173" t="str">
        <f>IF(AP37="","",
   IF(COUNTA(V37:AE37)&gt;=1,
      MAX(IFERROR(_xlfn.AGGREGATE(15,6,DISJUNTORES!$C$2:$C$100/(DISJUNTORES!$C$2:$C$100&gt;=BF37),1),""),25),
   IF(COUNTA(L37:U37)&gt;=1,
      MAX(IFERROR(_xlfn.AGGREGATE(15,6,DISJUNTORES!$C$2:$C$100/(DISJUNTORES!$C$2:$C$100&gt;=BF37),1),""),20),
   IF(COUNTA(A37:K37)&gt;=1,
      MAX(IFERROR(_xlfn.AGGREGATE(15,6,DISJUNTORES!$C$2:$C$100/(DISJUNTORES!$C$2:$C$100&gt;=BF37),1),""),16),
   IFERROR(_xlfn.AGGREGATE(15,6,DISJUNTORES!$C$2:$C$100/(DISJUNTORES!$C$2:$C$100&gt;=BF37),1),"")))))</f>
        <v/>
      </c>
      <c r="BJ37" s="107"/>
      <c r="BK37" s="107"/>
      <c r="BL37" s="107"/>
      <c r="BM37" s="109" t="str">
        <f t="shared" ref="BM37:BM68" si="12">IF(IF(BJ37="","",AR37/COUNTA(BJ37:BL37))=0,"",IF(BJ37="","",AR37/COUNTA(BJ37:BL37)))</f>
        <v/>
      </c>
      <c r="BN37" s="109" t="str">
        <f t="shared" ref="BN37:BN68" si="13">IF(IF(BK37="","",AR37/COUNTA(BJ37:BL37))=0,"",IF(BK37="","",AR37/COUNTA(BJ37:BL37)))</f>
        <v/>
      </c>
      <c r="BO37" s="109" t="str">
        <f t="shared" ref="BO37:BO68" si="14">IF(IF(BL37="","",AR37/COUNTA(BJ37:BL37))=0,"",IF(BL37="","",AR37/COUNTA(BJ37:BL37)))</f>
        <v/>
      </c>
      <c r="BP37" s="104" t="str" cm="1">
        <f t="array" ref="BP37">IFERROR(
    INDEX(
        IF(AV37="PVC", 'CAP CONDUÇÃO 70º'!$A:$A, 'CAP CONDUÇÃO 90º'!$A:$A),
        IF(
            COUNTIF(
                IF(AV37="PVC",
                   CHOOSE(
                       MATCH(AU37,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MATCH(AU37,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BI37
            ) &gt; 0,
            MATCH(BI37,
                IF(AV37="PVC",
                   CHOOSE(
                       MATCH(AU37,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MATCH(AU37,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MATCH(BI37,
                IF(AV37="PVC",
                   CHOOSE(
                       MATCH(AU37,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MATCH(AU37,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37" s="166"/>
      <c r="BR37" s="166"/>
      <c r="BS37" s="165" t="str">
        <f ca="1">IFERROR(IF(BP37="","","3F#"&amp;BR37&amp;"mm²+N"&amp;VLOOKUP($BR$5,NEUTRO!$A:$B,2,0)&amp;"mm²+T"&amp;VLOOKUP($BR$5,TERRA!$A:$B,2,0)&amp;"mm²"),"")</f>
        <v/>
      </c>
      <c r="BT37" s="110"/>
      <c r="BU37" s="2"/>
    </row>
    <row r="38" spans="1:73" ht="36.5" hidden="1" thickBot="1" x14ac:dyDescent="0.4">
      <c r="A38" s="106">
        <v>34</v>
      </c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  <c r="AO38" s="107"/>
      <c r="AP38" s="101" t="str">
        <f t="shared" si="9"/>
        <v/>
      </c>
      <c r="AQ38" s="108" t="str">
        <f t="shared" si="0"/>
        <v/>
      </c>
      <c r="AR38" s="109" t="str">
        <f t="shared" si="5"/>
        <v/>
      </c>
      <c r="AS38" s="107"/>
      <c r="AT38" s="170"/>
      <c r="AU38" s="107"/>
      <c r="AV38" s="107"/>
      <c r="AW38" s="107"/>
      <c r="AX38" s="107"/>
      <c r="AY38" s="172" t="s">
        <v>278</v>
      </c>
      <c r="AZ38" s="172" t="s">
        <v>262</v>
      </c>
      <c r="BA38" s="172" t="e">
        <f>INDEX(AGRUPAMENTO!C36:N40,MATCH(AY38,AGRUPAMENTO!B36:B40,0),MATCH(AZ38,AGRUPAMENTO!C35:N35,0))</f>
        <v>#N/A</v>
      </c>
      <c r="BB38" s="174" t="s">
        <v>254</v>
      </c>
      <c r="BC38" s="176">
        <v>30</v>
      </c>
      <c r="BD38" s="172" t="e">
        <f>IF(BB38="SUBTERRÂNEA",IF(AV38="PVC",VLOOKUP(BC38,TEMPERATURA!G35:H49,2,0),VLOOKUP(BC38,TEMPERATURA!G35:I49,3,0)),IF(AV38="PVC",VLOOKUP(BC38,TEMPERATURA!B35:C49,2,0),VLOOKUP(BC38,TEMPERATURA!B35:D49,3,0)))</f>
        <v>#N/A</v>
      </c>
      <c r="BE38" s="102" t="str">
        <f t="shared" si="10"/>
        <v/>
      </c>
      <c r="BF38" s="108" t="str">
        <f t="shared" si="11"/>
        <v/>
      </c>
      <c r="BG38" s="102" t="e">
        <f t="shared" si="7"/>
        <v>#VALUE!</v>
      </c>
      <c r="BH38" s="108" t="str">
        <f t="shared" si="8"/>
        <v/>
      </c>
      <c r="BI38" s="173" t="str">
        <f>IF(AP38="","",
   IF(COUNTA(V38:AE38)&gt;=1,
      MAX(IFERROR(_xlfn.AGGREGATE(15,6,DISJUNTORES!$C$2:$C$100/(DISJUNTORES!$C$2:$C$100&gt;=BF38),1),""),25),
   IF(COUNTA(L38:U38)&gt;=1,
      MAX(IFERROR(_xlfn.AGGREGATE(15,6,DISJUNTORES!$C$2:$C$100/(DISJUNTORES!$C$2:$C$100&gt;=BF38),1),""),20),
   IF(COUNTA(A38:K38)&gt;=1,
      MAX(IFERROR(_xlfn.AGGREGATE(15,6,DISJUNTORES!$C$2:$C$100/(DISJUNTORES!$C$2:$C$100&gt;=BF38),1),""),16),
   IFERROR(_xlfn.AGGREGATE(15,6,DISJUNTORES!$C$2:$C$100/(DISJUNTORES!$C$2:$C$100&gt;=BF38),1),"")))))</f>
        <v/>
      </c>
      <c r="BJ38" s="107"/>
      <c r="BK38" s="107"/>
      <c r="BL38" s="107"/>
      <c r="BM38" s="109" t="str">
        <f t="shared" si="12"/>
        <v/>
      </c>
      <c r="BN38" s="109" t="str">
        <f t="shared" si="13"/>
        <v/>
      </c>
      <c r="BO38" s="109" t="str">
        <f t="shared" si="14"/>
        <v/>
      </c>
      <c r="BP38" s="104" t="str" cm="1">
        <f t="array" ref="BP38">IFERROR(
    INDEX(
        IF(AV38="PVC", 'CAP CONDUÇÃO 70º'!$A:$A, 'CAP CONDUÇÃO 90º'!$A:$A),
        IF(
            COUNTIF(
                IF(AV38="PVC",
                   CHOOSE(
                       MATCH(AU38,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MATCH(AU38,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BI38
            ) &gt; 0,
            MATCH(BI38,
                IF(AV38="PVC",
                   CHOOSE(
                       MATCH(AU38,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MATCH(AU38,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MATCH(BI38,
                IF(AV38="PVC",
                   CHOOSE(
                       MATCH(AU38,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MATCH(AU38,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38" s="166"/>
      <c r="BR38" s="166"/>
      <c r="BS38" s="165" t="str">
        <f ca="1">IFERROR(IF(BP38="","","3F#"&amp;BR38&amp;"mm²+N"&amp;VLOOKUP($BR$5,NEUTRO!$A:$B,2,0)&amp;"mm²+T"&amp;VLOOKUP($BR$5,TERRA!$A:$B,2,0)&amp;"mm²"),"")</f>
        <v/>
      </c>
      <c r="BT38" s="110"/>
      <c r="BU38" s="2"/>
    </row>
    <row r="39" spans="1:73" ht="36.5" hidden="1" thickBot="1" x14ac:dyDescent="0.4">
      <c r="A39" s="106">
        <v>35</v>
      </c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  <c r="AO39" s="107"/>
      <c r="AP39" s="101" t="str">
        <f t="shared" si="9"/>
        <v/>
      </c>
      <c r="AQ39" s="108" t="str">
        <f t="shared" si="0"/>
        <v/>
      </c>
      <c r="AR39" s="109" t="str">
        <f t="shared" si="5"/>
        <v/>
      </c>
      <c r="AS39" s="107"/>
      <c r="AT39" s="170"/>
      <c r="AU39" s="107"/>
      <c r="AV39" s="107"/>
      <c r="AW39" s="107"/>
      <c r="AX39" s="107"/>
      <c r="AY39" s="172" t="s">
        <v>278</v>
      </c>
      <c r="AZ39" s="172" t="s">
        <v>262</v>
      </c>
      <c r="BA39" s="172" t="e">
        <f>INDEX(AGRUPAMENTO!C37:N41,MATCH(AY39,AGRUPAMENTO!B37:B41,0),MATCH(AZ39,AGRUPAMENTO!C36:N36,0))</f>
        <v>#N/A</v>
      </c>
      <c r="BB39" s="174" t="s">
        <v>254</v>
      </c>
      <c r="BC39" s="176">
        <v>30</v>
      </c>
      <c r="BD39" s="172" t="e">
        <f>IF(BB39="SUBTERRÂNEA",IF(AV39="PVC",VLOOKUP(BC39,TEMPERATURA!G36:H50,2,0),VLOOKUP(BC39,TEMPERATURA!G36:I50,3,0)),IF(AV39="PVC",VLOOKUP(BC39,TEMPERATURA!B36:C50,2,0),VLOOKUP(BC39,TEMPERATURA!B36:D50,3,0)))</f>
        <v>#N/A</v>
      </c>
      <c r="BE39" s="102" t="str">
        <f t="shared" si="10"/>
        <v/>
      </c>
      <c r="BF39" s="108" t="str">
        <f t="shared" si="11"/>
        <v/>
      </c>
      <c r="BG39" s="102" t="e">
        <f t="shared" si="7"/>
        <v>#VALUE!</v>
      </c>
      <c r="BH39" s="108" t="str">
        <f t="shared" si="8"/>
        <v/>
      </c>
      <c r="BI39" s="173" t="str">
        <f>IF(AP39="","",
   IF(COUNTA(V39:AE39)&gt;=1,
      MAX(IFERROR(_xlfn.AGGREGATE(15,6,DISJUNTORES!$C$2:$C$100/(DISJUNTORES!$C$2:$C$100&gt;=BF39),1),""),25),
   IF(COUNTA(L39:U39)&gt;=1,
      MAX(IFERROR(_xlfn.AGGREGATE(15,6,DISJUNTORES!$C$2:$C$100/(DISJUNTORES!$C$2:$C$100&gt;=BF39),1),""),20),
   IF(COUNTA(A39:K39)&gt;=1,
      MAX(IFERROR(_xlfn.AGGREGATE(15,6,DISJUNTORES!$C$2:$C$100/(DISJUNTORES!$C$2:$C$100&gt;=BF39),1),""),16),
   IFERROR(_xlfn.AGGREGATE(15,6,DISJUNTORES!$C$2:$C$100/(DISJUNTORES!$C$2:$C$100&gt;=BF39),1),"")))))</f>
        <v/>
      </c>
      <c r="BJ39" s="107"/>
      <c r="BK39" s="107"/>
      <c r="BL39" s="107"/>
      <c r="BM39" s="109" t="str">
        <f t="shared" si="12"/>
        <v/>
      </c>
      <c r="BN39" s="109" t="str">
        <f t="shared" si="13"/>
        <v/>
      </c>
      <c r="BO39" s="109" t="str">
        <f t="shared" si="14"/>
        <v/>
      </c>
      <c r="BP39" s="104" t="str" cm="1">
        <f t="array" ref="BP39">IFERROR(
    INDEX(
        IF(AV39="PVC", 'CAP CONDUÇÃO 70º'!$A:$A, 'CAP CONDUÇÃO 90º'!$A:$A),
        IF(
            COUNTIF(
                IF(AV39="PVC",
                   CHOOSE(
                       MATCH(AU39,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MATCH(AU39,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BI39
            ) &gt; 0,
            MATCH(BI39,
                IF(AV39="PVC",
                   CHOOSE(
                       MATCH(AU39,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MATCH(AU39,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MATCH(BI39,
                IF(AV39="PVC",
                   CHOOSE(
                       MATCH(AU39,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MATCH(AU39,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39" s="166"/>
      <c r="BR39" s="166"/>
      <c r="BS39" s="165" t="str">
        <f ca="1">IFERROR(IF(BP39="","","3F#"&amp;BR39&amp;"mm²+N"&amp;VLOOKUP($BR$5,NEUTRO!$A:$B,2,0)&amp;"mm²+T"&amp;VLOOKUP($BR$5,TERRA!$A:$B,2,0)&amp;"mm²"),"")</f>
        <v/>
      </c>
      <c r="BT39" s="110"/>
      <c r="BU39" s="2"/>
    </row>
    <row r="40" spans="1:73" ht="36.5" hidden="1" thickBot="1" x14ac:dyDescent="0.4">
      <c r="A40" s="106">
        <v>36</v>
      </c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  <c r="AO40" s="107"/>
      <c r="AP40" s="101" t="str">
        <f t="shared" si="9"/>
        <v/>
      </c>
      <c r="AQ40" s="108" t="str">
        <f t="shared" si="0"/>
        <v/>
      </c>
      <c r="AR40" s="109" t="str">
        <f t="shared" si="5"/>
        <v/>
      </c>
      <c r="AS40" s="107"/>
      <c r="AT40" s="170"/>
      <c r="AU40" s="107"/>
      <c r="AV40" s="107"/>
      <c r="AW40" s="107"/>
      <c r="AX40" s="107"/>
      <c r="AY40" s="172" t="s">
        <v>278</v>
      </c>
      <c r="AZ40" s="172" t="s">
        <v>262</v>
      </c>
      <c r="BA40" s="172" t="e">
        <f>INDEX(AGRUPAMENTO!C38:N42,MATCH(AY40,AGRUPAMENTO!B38:B42,0),MATCH(AZ40,AGRUPAMENTO!C37:N37,0))</f>
        <v>#N/A</v>
      </c>
      <c r="BB40" s="174" t="s">
        <v>254</v>
      </c>
      <c r="BC40" s="176">
        <v>30</v>
      </c>
      <c r="BD40" s="172" t="e">
        <f>IF(BB40="SUBTERRÂNEA",IF(AV40="PVC",VLOOKUP(BC40,TEMPERATURA!G37:H51,2,0),VLOOKUP(BC40,TEMPERATURA!G37:I51,3,0)),IF(AV40="PVC",VLOOKUP(BC40,TEMPERATURA!B37:C51,2,0),VLOOKUP(BC40,TEMPERATURA!B37:D51,3,0)))</f>
        <v>#N/A</v>
      </c>
      <c r="BE40" s="102" t="str">
        <f t="shared" si="10"/>
        <v/>
      </c>
      <c r="BF40" s="108" t="str">
        <f t="shared" si="11"/>
        <v/>
      </c>
      <c r="BG40" s="102" t="e">
        <f t="shared" si="7"/>
        <v>#VALUE!</v>
      </c>
      <c r="BH40" s="108" t="str">
        <f t="shared" si="8"/>
        <v/>
      </c>
      <c r="BI40" s="173" t="str">
        <f>IF(AP40="","",
   IF(COUNTA(V40:AE40)&gt;=1,
      MAX(IFERROR(_xlfn.AGGREGATE(15,6,DISJUNTORES!$C$2:$C$100/(DISJUNTORES!$C$2:$C$100&gt;=BF40),1),""),25),
   IF(COUNTA(L40:U40)&gt;=1,
      MAX(IFERROR(_xlfn.AGGREGATE(15,6,DISJUNTORES!$C$2:$C$100/(DISJUNTORES!$C$2:$C$100&gt;=BF40),1),""),20),
   IF(COUNTA(A40:K40)&gt;=1,
      MAX(IFERROR(_xlfn.AGGREGATE(15,6,DISJUNTORES!$C$2:$C$100/(DISJUNTORES!$C$2:$C$100&gt;=BF40),1),""),16),
   IFERROR(_xlfn.AGGREGATE(15,6,DISJUNTORES!$C$2:$C$100/(DISJUNTORES!$C$2:$C$100&gt;=BF40),1),"")))))</f>
        <v/>
      </c>
      <c r="BJ40" s="107"/>
      <c r="BK40" s="107"/>
      <c r="BL40" s="107"/>
      <c r="BM40" s="109" t="str">
        <f t="shared" si="12"/>
        <v/>
      </c>
      <c r="BN40" s="109" t="str">
        <f t="shared" si="13"/>
        <v/>
      </c>
      <c r="BO40" s="109" t="str">
        <f t="shared" si="14"/>
        <v/>
      </c>
      <c r="BP40" s="104" t="str" cm="1">
        <f t="array" ref="BP40">IFERROR(
    INDEX(
        IF(AV40="PVC", 'CAP CONDUÇÃO 70º'!$A:$A, 'CAP CONDUÇÃO 90º'!$A:$A),
        IF(
            COUNTIF(
                IF(AV40="PVC",
                   CHOOSE(
                       MATCH(AU40,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MATCH(AU40,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BI40
            ) &gt; 0,
            MATCH(BI40,
                IF(AV40="PVC",
                   CHOOSE(
                       MATCH(AU40,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MATCH(AU40,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MATCH(BI40,
                IF(AV40="PVC",
                   CHOOSE(
                       MATCH(AU40,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MATCH(AU40,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40" s="166"/>
      <c r="BR40" s="166"/>
      <c r="BS40" s="165" t="str">
        <f ca="1">IFERROR(IF(BP40="","","3F#"&amp;BR40&amp;"mm²+N"&amp;VLOOKUP($BR$5,NEUTRO!$A:$B,2,0)&amp;"mm²+T"&amp;VLOOKUP($BR$5,TERRA!$A:$B,2,0)&amp;"mm²"),"")</f>
        <v/>
      </c>
      <c r="BT40" s="110"/>
      <c r="BU40" s="2"/>
    </row>
    <row r="41" spans="1:73" ht="36.5" hidden="1" thickBot="1" x14ac:dyDescent="0.4">
      <c r="A41" s="106">
        <v>37</v>
      </c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1" t="str">
        <f t="shared" si="9"/>
        <v/>
      </c>
      <c r="AQ41" s="108" t="str">
        <f t="shared" si="0"/>
        <v/>
      </c>
      <c r="AR41" s="109" t="str">
        <f t="shared" si="5"/>
        <v/>
      </c>
      <c r="AS41" s="107"/>
      <c r="AT41" s="170"/>
      <c r="AU41" s="107"/>
      <c r="AV41" s="107"/>
      <c r="AW41" s="107"/>
      <c r="AX41" s="107"/>
      <c r="AY41" s="172" t="s">
        <v>278</v>
      </c>
      <c r="AZ41" s="172" t="s">
        <v>262</v>
      </c>
      <c r="BA41" s="172" t="e">
        <f>INDEX(AGRUPAMENTO!C39:N43,MATCH(AY41,AGRUPAMENTO!B39:B43,0),MATCH(AZ41,AGRUPAMENTO!C38:N38,0))</f>
        <v>#N/A</v>
      </c>
      <c r="BB41" s="174" t="s">
        <v>254</v>
      </c>
      <c r="BC41" s="176">
        <v>30</v>
      </c>
      <c r="BD41" s="172" t="e">
        <f>IF(BB41="SUBTERRÂNEA",IF(AV41="PVC",VLOOKUP(BC41,TEMPERATURA!G38:H52,2,0),VLOOKUP(BC41,TEMPERATURA!G38:I52,3,0)),IF(AV41="PVC",VLOOKUP(BC41,TEMPERATURA!B38:C52,2,0),VLOOKUP(BC41,TEMPERATURA!B38:D52,3,0)))</f>
        <v>#N/A</v>
      </c>
      <c r="BE41" s="102" t="str">
        <f t="shared" si="10"/>
        <v/>
      </c>
      <c r="BF41" s="108" t="str">
        <f t="shared" si="11"/>
        <v/>
      </c>
      <c r="BG41" s="102" t="e">
        <f t="shared" si="7"/>
        <v>#VALUE!</v>
      </c>
      <c r="BH41" s="108" t="str">
        <f t="shared" si="8"/>
        <v/>
      </c>
      <c r="BI41" s="173" t="str">
        <f>IF(AP41="","",
   IF(COUNTA(V41:AE41)&gt;=1,
      MAX(IFERROR(_xlfn.AGGREGATE(15,6,DISJUNTORES!$C$2:$C$100/(DISJUNTORES!$C$2:$C$100&gt;=BF41),1),""),25),
   IF(COUNTA(L41:U41)&gt;=1,
      MAX(IFERROR(_xlfn.AGGREGATE(15,6,DISJUNTORES!$C$2:$C$100/(DISJUNTORES!$C$2:$C$100&gt;=BF41),1),""),20),
   IF(COUNTA(A41:K41)&gt;=1,
      MAX(IFERROR(_xlfn.AGGREGATE(15,6,DISJUNTORES!$C$2:$C$100/(DISJUNTORES!$C$2:$C$100&gt;=BF41),1),""),16),
   IFERROR(_xlfn.AGGREGATE(15,6,DISJUNTORES!$C$2:$C$100/(DISJUNTORES!$C$2:$C$100&gt;=BF41),1),"")))))</f>
        <v/>
      </c>
      <c r="BJ41" s="107"/>
      <c r="BK41" s="107"/>
      <c r="BL41" s="107"/>
      <c r="BM41" s="109" t="str">
        <f t="shared" si="12"/>
        <v/>
      </c>
      <c r="BN41" s="109" t="str">
        <f t="shared" si="13"/>
        <v/>
      </c>
      <c r="BO41" s="109" t="str">
        <f t="shared" si="14"/>
        <v/>
      </c>
      <c r="BP41" s="104" t="str" cm="1">
        <f t="array" ref="BP41">IFERROR(
    INDEX(
        IF(AV41="PVC", 'CAP CONDUÇÃO 70º'!$A:$A, 'CAP CONDUÇÃO 90º'!$A:$A),
        IF(
            COUNTIF(
                IF(AV41="PVC",
                   CHOOSE(
                       MATCH(AU41,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MATCH(AU41,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BI41
            ) &gt; 0,
            MATCH(BI41,
                IF(AV41="PVC",
                   CHOOSE(
                       MATCH(AU41,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MATCH(AU41,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MATCH(BI41,
                IF(AV41="PVC",
                   CHOOSE(
                       MATCH(AU41,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MATCH(AU41,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41" s="166"/>
      <c r="BR41" s="166"/>
      <c r="BS41" s="165" t="str">
        <f ca="1">IFERROR(IF(BP41="","","3F#"&amp;BR41&amp;"mm²+N"&amp;VLOOKUP($BR$5,NEUTRO!$A:$B,2,0)&amp;"mm²+T"&amp;VLOOKUP($BR$5,TERRA!$A:$B,2,0)&amp;"mm²"),"")</f>
        <v/>
      </c>
      <c r="BT41" s="110"/>
      <c r="BU41" s="2"/>
    </row>
    <row r="42" spans="1:73" ht="36.5" hidden="1" thickBot="1" x14ac:dyDescent="0.4">
      <c r="A42" s="106">
        <v>38</v>
      </c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1" t="str">
        <f t="shared" si="9"/>
        <v/>
      </c>
      <c r="AQ42" s="108" t="str">
        <f t="shared" si="0"/>
        <v/>
      </c>
      <c r="AR42" s="109" t="str">
        <f t="shared" si="5"/>
        <v/>
      </c>
      <c r="AS42" s="107"/>
      <c r="AT42" s="170"/>
      <c r="AU42" s="107"/>
      <c r="AV42" s="107"/>
      <c r="AW42" s="107"/>
      <c r="AX42" s="107"/>
      <c r="AY42" s="172" t="s">
        <v>278</v>
      </c>
      <c r="AZ42" s="172" t="s">
        <v>262</v>
      </c>
      <c r="BA42" s="172" t="e">
        <f>INDEX(AGRUPAMENTO!C40:N44,MATCH(AY42,AGRUPAMENTO!B40:B44,0),MATCH(AZ42,AGRUPAMENTO!C39:N39,0))</f>
        <v>#N/A</v>
      </c>
      <c r="BB42" s="174" t="s">
        <v>254</v>
      </c>
      <c r="BC42" s="176">
        <v>30</v>
      </c>
      <c r="BD42" s="172" t="e">
        <f>IF(BB42="SUBTERRÂNEA",IF(AV42="PVC",VLOOKUP(BC42,TEMPERATURA!G39:H53,2,0),VLOOKUP(BC42,TEMPERATURA!G39:I53,3,0)),IF(AV42="PVC",VLOOKUP(BC42,TEMPERATURA!B39:C53,2,0),VLOOKUP(BC42,TEMPERATURA!B39:D53,3,0)))</f>
        <v>#N/A</v>
      </c>
      <c r="BE42" s="102" t="str">
        <f t="shared" si="10"/>
        <v/>
      </c>
      <c r="BF42" s="108" t="str">
        <f t="shared" si="11"/>
        <v/>
      </c>
      <c r="BG42" s="102" t="e">
        <f t="shared" si="7"/>
        <v>#VALUE!</v>
      </c>
      <c r="BH42" s="108" t="str">
        <f t="shared" si="8"/>
        <v/>
      </c>
      <c r="BI42" s="173" t="str">
        <f>IF(AP42="","",
   IF(COUNTA(V42:AE42)&gt;=1,
      MAX(IFERROR(_xlfn.AGGREGATE(15,6,DISJUNTORES!$C$2:$C$100/(DISJUNTORES!$C$2:$C$100&gt;=BF42),1),""),25),
   IF(COUNTA(L42:U42)&gt;=1,
      MAX(IFERROR(_xlfn.AGGREGATE(15,6,DISJUNTORES!$C$2:$C$100/(DISJUNTORES!$C$2:$C$100&gt;=BF42),1),""),20),
   IF(COUNTA(A42:K42)&gt;=1,
      MAX(IFERROR(_xlfn.AGGREGATE(15,6,DISJUNTORES!$C$2:$C$100/(DISJUNTORES!$C$2:$C$100&gt;=BF42),1),""),16),
   IFERROR(_xlfn.AGGREGATE(15,6,DISJUNTORES!$C$2:$C$100/(DISJUNTORES!$C$2:$C$100&gt;=BF42),1),"")))))</f>
        <v/>
      </c>
      <c r="BJ42" s="107"/>
      <c r="BK42" s="107"/>
      <c r="BL42" s="107"/>
      <c r="BM42" s="109" t="str">
        <f t="shared" si="12"/>
        <v/>
      </c>
      <c r="BN42" s="109" t="str">
        <f t="shared" si="13"/>
        <v/>
      </c>
      <c r="BO42" s="109" t="str">
        <f t="shared" si="14"/>
        <v/>
      </c>
      <c r="BP42" s="104" t="str" cm="1">
        <f t="array" ref="BP42">IFERROR(
    INDEX(
        IF(AV42="PVC", 'CAP CONDUÇÃO 70º'!$A:$A, 'CAP CONDUÇÃO 90º'!$A:$A),
        IF(
            COUNTIF(
                IF(AV42="PVC",
                   CHOOSE(
                       MATCH(AU42,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MATCH(AU42,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BI42
            ) &gt; 0,
            MATCH(BI42,
                IF(AV42="PVC",
                   CHOOSE(
                       MATCH(AU42,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MATCH(AU42,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MATCH(BI42,
                IF(AV42="PVC",
                   CHOOSE(
                       MATCH(AU42,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MATCH(AU42,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42" s="166"/>
      <c r="BR42" s="166"/>
      <c r="BS42" s="165" t="str">
        <f ca="1">IFERROR(IF(BP42="","","3F#"&amp;BR42&amp;"mm²+N"&amp;VLOOKUP($BR$5,NEUTRO!$A:$B,2,0)&amp;"mm²+T"&amp;VLOOKUP($BR$5,TERRA!$A:$B,2,0)&amp;"mm²"),"")</f>
        <v/>
      </c>
      <c r="BT42" s="110"/>
      <c r="BU42" s="2"/>
    </row>
    <row r="43" spans="1:73" ht="36.5" hidden="1" thickBot="1" x14ac:dyDescent="0.4">
      <c r="A43" s="106">
        <v>39</v>
      </c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1" t="str">
        <f t="shared" si="9"/>
        <v/>
      </c>
      <c r="AQ43" s="108" t="str">
        <f t="shared" si="0"/>
        <v/>
      </c>
      <c r="AR43" s="109" t="str">
        <f t="shared" si="5"/>
        <v/>
      </c>
      <c r="AS43" s="107"/>
      <c r="AT43" s="170"/>
      <c r="AU43" s="107"/>
      <c r="AV43" s="107"/>
      <c r="AW43" s="107"/>
      <c r="AX43" s="107"/>
      <c r="AY43" s="172" t="s">
        <v>278</v>
      </c>
      <c r="AZ43" s="172" t="s">
        <v>262</v>
      </c>
      <c r="BA43" s="172" t="e">
        <f>INDEX(AGRUPAMENTO!C41:N45,MATCH(AY43,AGRUPAMENTO!B41:B45,0),MATCH(AZ43,AGRUPAMENTO!C40:N40,0))</f>
        <v>#N/A</v>
      </c>
      <c r="BB43" s="174" t="s">
        <v>254</v>
      </c>
      <c r="BC43" s="176">
        <v>30</v>
      </c>
      <c r="BD43" s="172" t="e">
        <f>IF(BB43="SUBTERRÂNEA",IF(AV43="PVC",VLOOKUP(BC43,TEMPERATURA!G40:H54,2,0),VLOOKUP(BC43,TEMPERATURA!G40:I54,3,0)),IF(AV43="PVC",VLOOKUP(BC43,TEMPERATURA!B40:C54,2,0),VLOOKUP(BC43,TEMPERATURA!B40:D54,3,0)))</f>
        <v>#N/A</v>
      </c>
      <c r="BE43" s="102" t="str">
        <f t="shared" si="10"/>
        <v/>
      </c>
      <c r="BF43" s="108" t="str">
        <f t="shared" si="11"/>
        <v/>
      </c>
      <c r="BG43" s="102" t="e">
        <f t="shared" si="7"/>
        <v>#VALUE!</v>
      </c>
      <c r="BH43" s="108" t="str">
        <f t="shared" si="8"/>
        <v/>
      </c>
      <c r="BI43" s="173" t="str">
        <f>IF(AP43="","",
   IF(COUNTA(V43:AE43)&gt;=1,
      MAX(IFERROR(_xlfn.AGGREGATE(15,6,DISJUNTORES!$C$2:$C$100/(DISJUNTORES!$C$2:$C$100&gt;=BF43),1),""),25),
   IF(COUNTA(L43:U43)&gt;=1,
      MAX(IFERROR(_xlfn.AGGREGATE(15,6,DISJUNTORES!$C$2:$C$100/(DISJUNTORES!$C$2:$C$100&gt;=BF43),1),""),20),
   IF(COUNTA(A43:K43)&gt;=1,
      MAX(IFERROR(_xlfn.AGGREGATE(15,6,DISJUNTORES!$C$2:$C$100/(DISJUNTORES!$C$2:$C$100&gt;=BF43),1),""),16),
   IFERROR(_xlfn.AGGREGATE(15,6,DISJUNTORES!$C$2:$C$100/(DISJUNTORES!$C$2:$C$100&gt;=BF43),1),"")))))</f>
        <v/>
      </c>
      <c r="BJ43" s="107"/>
      <c r="BK43" s="107"/>
      <c r="BL43" s="107"/>
      <c r="BM43" s="109" t="str">
        <f t="shared" si="12"/>
        <v/>
      </c>
      <c r="BN43" s="109" t="str">
        <f t="shared" si="13"/>
        <v/>
      </c>
      <c r="BO43" s="109" t="str">
        <f t="shared" si="14"/>
        <v/>
      </c>
      <c r="BP43" s="104" t="str" cm="1">
        <f t="array" ref="BP43">IFERROR(
    INDEX(
        IF(AV43="PVC", 'CAP CONDUÇÃO 70º'!$A:$A, 'CAP CONDUÇÃO 90º'!$A:$A),
        IF(
            COUNTIF(
                IF(AV43="PVC",
                   CHOOSE(
                       MATCH(AU43,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MATCH(AU43,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BI43
            ) &gt; 0,
            MATCH(BI43,
                IF(AV43="PVC",
                   CHOOSE(
                       MATCH(AU43,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MATCH(AU43,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MATCH(BI43,
                IF(AV43="PVC",
                   CHOOSE(
                       MATCH(AU43,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MATCH(AU43,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43" s="166"/>
      <c r="BR43" s="166"/>
      <c r="BS43" s="165" t="str">
        <f ca="1">IFERROR(IF(BP43="","","3F#"&amp;BR43&amp;"mm²+N"&amp;VLOOKUP($BR$5,NEUTRO!$A:$B,2,0)&amp;"mm²+T"&amp;VLOOKUP($BR$5,TERRA!$A:$B,2,0)&amp;"mm²"),"")</f>
        <v/>
      </c>
      <c r="BT43" s="110"/>
      <c r="BU43" s="2"/>
    </row>
    <row r="44" spans="1:73" ht="36.5" hidden="1" thickBot="1" x14ac:dyDescent="0.4">
      <c r="A44" s="106">
        <v>40</v>
      </c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  <c r="AO44" s="107"/>
      <c r="AP44" s="101" t="str">
        <f t="shared" si="9"/>
        <v/>
      </c>
      <c r="AQ44" s="108" t="str">
        <f t="shared" si="0"/>
        <v/>
      </c>
      <c r="AR44" s="109" t="str">
        <f t="shared" si="5"/>
        <v/>
      </c>
      <c r="AS44" s="107"/>
      <c r="AT44" s="170"/>
      <c r="AU44" s="107"/>
      <c r="AV44" s="107"/>
      <c r="AW44" s="107"/>
      <c r="AX44" s="107"/>
      <c r="AY44" s="172" t="s">
        <v>278</v>
      </c>
      <c r="AZ44" s="172" t="s">
        <v>262</v>
      </c>
      <c r="BA44" s="172" t="e">
        <f>INDEX(AGRUPAMENTO!C42:N46,MATCH(AY44,AGRUPAMENTO!B42:B46,0),MATCH(AZ44,AGRUPAMENTO!C41:N41,0))</f>
        <v>#N/A</v>
      </c>
      <c r="BB44" s="174" t="s">
        <v>254</v>
      </c>
      <c r="BC44" s="176">
        <v>30</v>
      </c>
      <c r="BD44" s="172" t="e">
        <f>IF(BB44="SUBTERRÂNEA",IF(AV44="PVC",VLOOKUP(BC44,TEMPERATURA!G41:H55,2,0),VLOOKUP(BC44,TEMPERATURA!G41:I55,3,0)),IF(AV44="PVC",VLOOKUP(BC44,TEMPERATURA!B41:C55,2,0),VLOOKUP(BC44,TEMPERATURA!B41:D55,3,0)))</f>
        <v>#N/A</v>
      </c>
      <c r="BE44" s="102" t="str">
        <f t="shared" si="10"/>
        <v/>
      </c>
      <c r="BF44" s="108" t="str">
        <f t="shared" si="11"/>
        <v/>
      </c>
      <c r="BG44" s="102" t="e">
        <f t="shared" si="7"/>
        <v>#VALUE!</v>
      </c>
      <c r="BH44" s="108" t="str">
        <f t="shared" si="8"/>
        <v/>
      </c>
      <c r="BI44" s="173" t="str">
        <f>IF(AP44="","",
   IF(COUNTA(V44:AE44)&gt;=1,
      MAX(IFERROR(_xlfn.AGGREGATE(15,6,DISJUNTORES!$C$2:$C$100/(DISJUNTORES!$C$2:$C$100&gt;=BF44),1),""),25),
   IF(COUNTA(L44:U44)&gt;=1,
      MAX(IFERROR(_xlfn.AGGREGATE(15,6,DISJUNTORES!$C$2:$C$100/(DISJUNTORES!$C$2:$C$100&gt;=BF44),1),""),20),
   IF(COUNTA(A44:K44)&gt;=1,
      MAX(IFERROR(_xlfn.AGGREGATE(15,6,DISJUNTORES!$C$2:$C$100/(DISJUNTORES!$C$2:$C$100&gt;=BF44),1),""),16),
   IFERROR(_xlfn.AGGREGATE(15,6,DISJUNTORES!$C$2:$C$100/(DISJUNTORES!$C$2:$C$100&gt;=BF44),1),"")))))</f>
        <v/>
      </c>
      <c r="BJ44" s="107"/>
      <c r="BK44" s="107"/>
      <c r="BL44" s="107"/>
      <c r="BM44" s="109" t="str">
        <f t="shared" si="12"/>
        <v/>
      </c>
      <c r="BN44" s="109" t="str">
        <f t="shared" si="13"/>
        <v/>
      </c>
      <c r="BO44" s="109" t="str">
        <f t="shared" si="14"/>
        <v/>
      </c>
      <c r="BP44" s="104" t="str" cm="1">
        <f t="array" ref="BP44">IFERROR(
    INDEX(
        IF(AV44="PVC", 'CAP CONDUÇÃO 70º'!$A:$A, 'CAP CONDUÇÃO 90º'!$A:$A),
        IF(
            COUNTIF(
                IF(AV44="PVC",
                   CHOOSE(
                       MATCH(AU44,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MATCH(AU44,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BI44
            ) &gt; 0,
            MATCH(BI44,
                IF(AV44="PVC",
                   CHOOSE(
                       MATCH(AU44,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MATCH(AU44,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MATCH(BI44,
                IF(AV44="PVC",
                   CHOOSE(
                       MATCH(AU44,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MATCH(AU44,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44" s="166"/>
      <c r="BR44" s="166"/>
      <c r="BS44" s="165" t="str">
        <f ca="1">IFERROR(IF(BP44="","","3F#"&amp;BR44&amp;"mm²+N"&amp;VLOOKUP($BR$5,NEUTRO!$A:$B,2,0)&amp;"mm²+T"&amp;VLOOKUP($BR$5,TERRA!$A:$B,2,0)&amp;"mm²"),"")</f>
        <v/>
      </c>
      <c r="BT44" s="110"/>
      <c r="BU44" s="2"/>
    </row>
    <row r="45" spans="1:73" ht="36.5" hidden="1" thickBot="1" x14ac:dyDescent="0.4">
      <c r="A45" s="106">
        <v>41</v>
      </c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  <c r="AO45" s="107"/>
      <c r="AP45" s="101" t="str">
        <f t="shared" si="9"/>
        <v/>
      </c>
      <c r="AQ45" s="108" t="str">
        <f t="shared" si="0"/>
        <v/>
      </c>
      <c r="AR45" s="109" t="str">
        <f t="shared" si="5"/>
        <v/>
      </c>
      <c r="AS45" s="107"/>
      <c r="AT45" s="170"/>
      <c r="AU45" s="107"/>
      <c r="AV45" s="107"/>
      <c r="AW45" s="107"/>
      <c r="AX45" s="107"/>
      <c r="AY45" s="172" t="s">
        <v>278</v>
      </c>
      <c r="AZ45" s="172" t="s">
        <v>262</v>
      </c>
      <c r="BA45" s="172" t="e">
        <f>INDEX(AGRUPAMENTO!C43:N47,MATCH(AY45,AGRUPAMENTO!B43:B47,0),MATCH(AZ45,AGRUPAMENTO!C42:N42,0))</f>
        <v>#N/A</v>
      </c>
      <c r="BB45" s="174" t="s">
        <v>254</v>
      </c>
      <c r="BC45" s="176">
        <v>30</v>
      </c>
      <c r="BD45" s="172" t="e">
        <f>IF(BB45="SUBTERRÂNEA",IF(AV45="PVC",VLOOKUP(BC45,TEMPERATURA!G42:H56,2,0),VLOOKUP(BC45,TEMPERATURA!G42:I56,3,0)),IF(AV45="PVC",VLOOKUP(BC45,TEMPERATURA!B42:C56,2,0),VLOOKUP(BC45,TEMPERATURA!B42:D56,3,0)))</f>
        <v>#N/A</v>
      </c>
      <c r="BE45" s="102" t="str">
        <f t="shared" si="10"/>
        <v/>
      </c>
      <c r="BF45" s="108" t="str">
        <f t="shared" si="11"/>
        <v/>
      </c>
      <c r="BG45" s="102" t="e">
        <f t="shared" si="7"/>
        <v>#VALUE!</v>
      </c>
      <c r="BH45" s="108" t="str">
        <f t="shared" si="8"/>
        <v/>
      </c>
      <c r="BI45" s="173" t="str">
        <f>IF(AP45="","",
   IF(COUNTA(V45:AE45)&gt;=1,
      MAX(IFERROR(_xlfn.AGGREGATE(15,6,DISJUNTORES!$C$2:$C$100/(DISJUNTORES!$C$2:$C$100&gt;=BF45),1),""),25),
   IF(COUNTA(L45:U45)&gt;=1,
      MAX(IFERROR(_xlfn.AGGREGATE(15,6,DISJUNTORES!$C$2:$C$100/(DISJUNTORES!$C$2:$C$100&gt;=BF45),1),""),20),
   IF(COUNTA(A45:K45)&gt;=1,
      MAX(IFERROR(_xlfn.AGGREGATE(15,6,DISJUNTORES!$C$2:$C$100/(DISJUNTORES!$C$2:$C$100&gt;=BF45),1),""),16),
   IFERROR(_xlfn.AGGREGATE(15,6,DISJUNTORES!$C$2:$C$100/(DISJUNTORES!$C$2:$C$100&gt;=BF45),1),"")))))</f>
        <v/>
      </c>
      <c r="BJ45" s="107"/>
      <c r="BK45" s="107"/>
      <c r="BL45" s="107"/>
      <c r="BM45" s="109" t="str">
        <f t="shared" si="12"/>
        <v/>
      </c>
      <c r="BN45" s="109" t="str">
        <f t="shared" si="13"/>
        <v/>
      </c>
      <c r="BO45" s="109" t="str">
        <f t="shared" si="14"/>
        <v/>
      </c>
      <c r="BP45" s="104" t="str" cm="1">
        <f t="array" ref="BP45">IFERROR(
    INDEX(
        IF(AV45="PVC", 'CAP CONDUÇÃO 70º'!$A:$A, 'CAP CONDUÇÃO 90º'!$A:$A),
        IF(
            COUNTIF(
                IF(AV45="PVC",
                   CHOOSE(
                       MATCH(AU45,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MATCH(AU45,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BI45
            ) &gt; 0,
            MATCH(BI45,
                IF(AV45="PVC",
                   CHOOSE(
                       MATCH(AU45,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MATCH(AU45,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MATCH(BI45,
                IF(AV45="PVC",
                   CHOOSE(
                       MATCH(AU45,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MATCH(AU45,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45" s="166"/>
      <c r="BR45" s="166"/>
      <c r="BS45" s="165" t="str">
        <f ca="1">IFERROR(IF(BP45="","","3F#"&amp;BR45&amp;"mm²+N"&amp;VLOOKUP($BR$5,NEUTRO!$A:$B,2,0)&amp;"mm²+T"&amp;VLOOKUP($BR$5,TERRA!$A:$B,2,0)&amp;"mm²"),"")</f>
        <v/>
      </c>
      <c r="BT45" s="110"/>
      <c r="BU45" s="2"/>
    </row>
    <row r="46" spans="1:73" ht="36.5" hidden="1" thickBot="1" x14ac:dyDescent="0.4">
      <c r="A46" s="106">
        <v>42</v>
      </c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07"/>
      <c r="AO46" s="107"/>
      <c r="AP46" s="101" t="str">
        <f t="shared" si="9"/>
        <v/>
      </c>
      <c r="AQ46" s="108" t="str">
        <f t="shared" si="0"/>
        <v/>
      </c>
      <c r="AR46" s="109" t="str">
        <f t="shared" si="5"/>
        <v/>
      </c>
      <c r="AS46" s="107"/>
      <c r="AT46" s="170"/>
      <c r="AU46" s="107"/>
      <c r="AV46" s="107"/>
      <c r="AW46" s="107"/>
      <c r="AX46" s="107"/>
      <c r="AY46" s="172" t="s">
        <v>278</v>
      </c>
      <c r="AZ46" s="172" t="s">
        <v>262</v>
      </c>
      <c r="BA46" s="172" t="e">
        <f>INDEX(AGRUPAMENTO!C44:N48,MATCH(AY46,AGRUPAMENTO!B44:B48,0),MATCH(AZ46,AGRUPAMENTO!C43:N43,0))</f>
        <v>#N/A</v>
      </c>
      <c r="BB46" s="174" t="s">
        <v>254</v>
      </c>
      <c r="BC46" s="176">
        <v>30</v>
      </c>
      <c r="BD46" s="172" t="e">
        <f>IF(BB46="SUBTERRÂNEA",IF(AV46="PVC",VLOOKUP(BC46,TEMPERATURA!G43:H57,2,0),VLOOKUP(BC46,TEMPERATURA!G43:I57,3,0)),IF(AV46="PVC",VLOOKUP(BC46,TEMPERATURA!B43:C57,2,0),VLOOKUP(BC46,TEMPERATURA!B43:D57,3,0)))</f>
        <v>#N/A</v>
      </c>
      <c r="BE46" s="102" t="str">
        <f t="shared" si="10"/>
        <v/>
      </c>
      <c r="BF46" s="108" t="str">
        <f t="shared" si="11"/>
        <v/>
      </c>
      <c r="BG46" s="102" t="e">
        <f t="shared" si="7"/>
        <v>#VALUE!</v>
      </c>
      <c r="BH46" s="108" t="str">
        <f t="shared" si="8"/>
        <v/>
      </c>
      <c r="BI46" s="173" t="str">
        <f>IF(AP46="","",
   IF(COUNTA(V46:AE46)&gt;=1,
      MAX(IFERROR(_xlfn.AGGREGATE(15,6,DISJUNTORES!$C$2:$C$100/(DISJUNTORES!$C$2:$C$100&gt;=BF46),1),""),25),
   IF(COUNTA(L46:U46)&gt;=1,
      MAX(IFERROR(_xlfn.AGGREGATE(15,6,DISJUNTORES!$C$2:$C$100/(DISJUNTORES!$C$2:$C$100&gt;=BF46),1),""),20),
   IF(COUNTA(A46:K46)&gt;=1,
      MAX(IFERROR(_xlfn.AGGREGATE(15,6,DISJUNTORES!$C$2:$C$100/(DISJUNTORES!$C$2:$C$100&gt;=BF46),1),""),16),
   IFERROR(_xlfn.AGGREGATE(15,6,DISJUNTORES!$C$2:$C$100/(DISJUNTORES!$C$2:$C$100&gt;=BF46),1),"")))))</f>
        <v/>
      </c>
      <c r="BJ46" s="107"/>
      <c r="BK46" s="107"/>
      <c r="BL46" s="107"/>
      <c r="BM46" s="109" t="str">
        <f t="shared" si="12"/>
        <v/>
      </c>
      <c r="BN46" s="109" t="str">
        <f t="shared" si="13"/>
        <v/>
      </c>
      <c r="BO46" s="109" t="str">
        <f t="shared" si="14"/>
        <v/>
      </c>
      <c r="BP46" s="104" t="str" cm="1">
        <f t="array" ref="BP46">IFERROR(
    INDEX(
        IF(AV46="PVC", 'CAP CONDUÇÃO 70º'!$A:$A, 'CAP CONDUÇÃO 90º'!$A:$A),
        IF(
            COUNTIF(
                IF(AV46="PVC",
                   CHOOSE(
                       MATCH(AU46,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MATCH(AU46,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BI46
            ) &gt; 0,
            MATCH(BI46,
                IF(AV46="PVC",
                   CHOOSE(
                       MATCH(AU46,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MATCH(AU46,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MATCH(BI46,
                IF(AV46="PVC",
                   CHOOSE(
                       MATCH(AU46,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MATCH(AU46,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46" s="166"/>
      <c r="BR46" s="166"/>
      <c r="BS46" s="165" t="str">
        <f ca="1">IFERROR(IF(BP46="","","3F#"&amp;BR46&amp;"mm²+N"&amp;VLOOKUP($BR$5,NEUTRO!$A:$B,2,0)&amp;"mm²+T"&amp;VLOOKUP($BR$5,TERRA!$A:$B,2,0)&amp;"mm²"),"")</f>
        <v/>
      </c>
      <c r="BT46" s="110"/>
      <c r="BU46" s="2"/>
    </row>
    <row r="47" spans="1:73" ht="36.5" hidden="1" thickBot="1" x14ac:dyDescent="0.4">
      <c r="A47" s="106">
        <v>43</v>
      </c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  <c r="AO47" s="107"/>
      <c r="AP47" s="101" t="str">
        <f t="shared" si="9"/>
        <v/>
      </c>
      <c r="AQ47" s="108" t="str">
        <f t="shared" si="0"/>
        <v/>
      </c>
      <c r="AR47" s="109" t="str">
        <f t="shared" si="5"/>
        <v/>
      </c>
      <c r="AS47" s="107"/>
      <c r="AT47" s="170"/>
      <c r="AU47" s="107"/>
      <c r="AV47" s="107"/>
      <c r="AW47" s="107"/>
      <c r="AX47" s="107"/>
      <c r="AY47" s="172" t="s">
        <v>278</v>
      </c>
      <c r="AZ47" s="172" t="s">
        <v>262</v>
      </c>
      <c r="BA47" s="172" t="e">
        <f>INDEX(AGRUPAMENTO!C45:N49,MATCH(AY47,AGRUPAMENTO!B45:B49,0),MATCH(AZ47,AGRUPAMENTO!C44:N44,0))</f>
        <v>#N/A</v>
      </c>
      <c r="BB47" s="174" t="s">
        <v>254</v>
      </c>
      <c r="BC47" s="176">
        <v>30</v>
      </c>
      <c r="BD47" s="172" t="e">
        <f>IF(BB47="SUBTERRÂNEA",IF(AV47="PVC",VLOOKUP(BC47,TEMPERATURA!G44:H58,2,0),VLOOKUP(BC47,TEMPERATURA!G44:I58,3,0)),IF(AV47="PVC",VLOOKUP(BC47,TEMPERATURA!B44:C58,2,0),VLOOKUP(BC47,TEMPERATURA!B44:D58,3,0)))</f>
        <v>#N/A</v>
      </c>
      <c r="BE47" s="102" t="str">
        <f t="shared" si="10"/>
        <v/>
      </c>
      <c r="BF47" s="108" t="str">
        <f t="shared" si="11"/>
        <v/>
      </c>
      <c r="BG47" s="102" t="e">
        <f t="shared" si="7"/>
        <v>#VALUE!</v>
      </c>
      <c r="BH47" s="108" t="str">
        <f t="shared" si="8"/>
        <v/>
      </c>
      <c r="BI47" s="173" t="str">
        <f>IF(AP47="","",
   IF(COUNTA(V47:AE47)&gt;=1,
      MAX(IFERROR(_xlfn.AGGREGATE(15,6,DISJUNTORES!$C$2:$C$100/(DISJUNTORES!$C$2:$C$100&gt;=BF47),1),""),25),
   IF(COUNTA(L47:U47)&gt;=1,
      MAX(IFERROR(_xlfn.AGGREGATE(15,6,DISJUNTORES!$C$2:$C$100/(DISJUNTORES!$C$2:$C$100&gt;=BF47),1),""),20),
   IF(COUNTA(A47:K47)&gt;=1,
      MAX(IFERROR(_xlfn.AGGREGATE(15,6,DISJUNTORES!$C$2:$C$100/(DISJUNTORES!$C$2:$C$100&gt;=BF47),1),""),16),
   IFERROR(_xlfn.AGGREGATE(15,6,DISJUNTORES!$C$2:$C$100/(DISJUNTORES!$C$2:$C$100&gt;=BF47),1),"")))))</f>
        <v/>
      </c>
      <c r="BJ47" s="107"/>
      <c r="BK47" s="107"/>
      <c r="BL47" s="107"/>
      <c r="BM47" s="109" t="str">
        <f t="shared" si="12"/>
        <v/>
      </c>
      <c r="BN47" s="109" t="str">
        <f t="shared" si="13"/>
        <v/>
      </c>
      <c r="BO47" s="109" t="str">
        <f t="shared" si="14"/>
        <v/>
      </c>
      <c r="BP47" s="104" t="str" cm="1">
        <f t="array" ref="BP47">IFERROR(
    INDEX(
        IF(AV47="PVC", 'CAP CONDUÇÃO 70º'!$A:$A, 'CAP CONDUÇÃO 90º'!$A:$A),
        IF(
            COUNTIF(
                IF(AV47="PVC",
                   CHOOSE(
                       MATCH(AU47,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MATCH(AU47,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BI47
            ) &gt; 0,
            MATCH(BI47,
                IF(AV47="PVC",
                   CHOOSE(
                       MATCH(AU47,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MATCH(AU47,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MATCH(BI47,
                IF(AV47="PVC",
                   CHOOSE(
                       MATCH(AU47,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MATCH(AU47,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47" s="166"/>
      <c r="BR47" s="166"/>
      <c r="BS47" s="165" t="str">
        <f ca="1">IFERROR(IF(BP47="","","3F#"&amp;BR47&amp;"mm²+N"&amp;VLOOKUP($BR$5,NEUTRO!$A:$B,2,0)&amp;"mm²+T"&amp;VLOOKUP($BR$5,TERRA!$A:$B,2,0)&amp;"mm²"),"")</f>
        <v/>
      </c>
      <c r="BT47" s="110"/>
      <c r="BU47" s="2"/>
    </row>
    <row r="48" spans="1:73" ht="36.5" hidden="1" thickBot="1" x14ac:dyDescent="0.4">
      <c r="A48" s="106">
        <v>44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7"/>
      <c r="AN48" s="107"/>
      <c r="AO48" s="107"/>
      <c r="AP48" s="101" t="str">
        <f t="shared" si="9"/>
        <v/>
      </c>
      <c r="AQ48" s="108" t="str">
        <f t="shared" si="0"/>
        <v/>
      </c>
      <c r="AR48" s="109" t="str">
        <f t="shared" si="5"/>
        <v/>
      </c>
      <c r="AS48" s="107"/>
      <c r="AT48" s="170"/>
      <c r="AU48" s="107"/>
      <c r="AV48" s="107"/>
      <c r="AW48" s="107"/>
      <c r="AX48" s="107"/>
      <c r="AY48" s="172" t="s">
        <v>278</v>
      </c>
      <c r="AZ48" s="172" t="s">
        <v>262</v>
      </c>
      <c r="BA48" s="172" t="e">
        <f>INDEX(AGRUPAMENTO!C46:N50,MATCH(AY48,AGRUPAMENTO!B46:B50,0),MATCH(AZ48,AGRUPAMENTO!C45:N45,0))</f>
        <v>#N/A</v>
      </c>
      <c r="BB48" s="174" t="s">
        <v>254</v>
      </c>
      <c r="BC48" s="176">
        <v>30</v>
      </c>
      <c r="BD48" s="172" t="e">
        <f>IF(BB48="SUBTERRÂNEA",IF(AV48="PVC",VLOOKUP(BC48,TEMPERATURA!G45:H59,2,0),VLOOKUP(BC48,TEMPERATURA!G45:I59,3,0)),IF(AV48="PVC",VLOOKUP(BC48,TEMPERATURA!B45:C59,2,0),VLOOKUP(BC48,TEMPERATURA!B45:D59,3,0)))</f>
        <v>#N/A</v>
      </c>
      <c r="BE48" s="102" t="str">
        <f t="shared" si="10"/>
        <v/>
      </c>
      <c r="BF48" s="108" t="str">
        <f t="shared" si="11"/>
        <v/>
      </c>
      <c r="BG48" s="102" t="e">
        <f t="shared" si="7"/>
        <v>#VALUE!</v>
      </c>
      <c r="BH48" s="108" t="str">
        <f t="shared" si="8"/>
        <v/>
      </c>
      <c r="BI48" s="173" t="str">
        <f>IF(AP48="","",
   IF(COUNTA(V48:AE48)&gt;=1,
      MAX(IFERROR(_xlfn.AGGREGATE(15,6,DISJUNTORES!$C$2:$C$100/(DISJUNTORES!$C$2:$C$100&gt;=BF48),1),""),25),
   IF(COUNTA(L48:U48)&gt;=1,
      MAX(IFERROR(_xlfn.AGGREGATE(15,6,DISJUNTORES!$C$2:$C$100/(DISJUNTORES!$C$2:$C$100&gt;=BF48),1),""),20),
   IF(COUNTA(A48:K48)&gt;=1,
      MAX(IFERROR(_xlfn.AGGREGATE(15,6,DISJUNTORES!$C$2:$C$100/(DISJUNTORES!$C$2:$C$100&gt;=BF48),1),""),16),
   IFERROR(_xlfn.AGGREGATE(15,6,DISJUNTORES!$C$2:$C$100/(DISJUNTORES!$C$2:$C$100&gt;=BF48),1),"")))))</f>
        <v/>
      </c>
      <c r="BJ48" s="107"/>
      <c r="BK48" s="107"/>
      <c r="BL48" s="107"/>
      <c r="BM48" s="109" t="str">
        <f t="shared" si="12"/>
        <v/>
      </c>
      <c r="BN48" s="109" t="str">
        <f t="shared" si="13"/>
        <v/>
      </c>
      <c r="BO48" s="109" t="str">
        <f t="shared" si="14"/>
        <v/>
      </c>
      <c r="BP48" s="104" t="str" cm="1">
        <f t="array" ref="BP48">IFERROR(
    INDEX(
        IF(AV48="PVC", 'CAP CONDUÇÃO 70º'!$A:$A, 'CAP CONDUÇÃO 90º'!$A:$A),
        IF(
            COUNTIF(
                IF(AV48="PVC",
                   CHOOSE(
                       MATCH(AU48,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MATCH(AU48,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BI48
            ) &gt; 0,
            MATCH(BI48,
                IF(AV48="PVC",
                   CHOOSE(
                       MATCH(AU48,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MATCH(AU48,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MATCH(BI48,
                IF(AV48="PVC",
                   CHOOSE(
                       MATCH(AU48,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MATCH(AU48,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48" s="166"/>
      <c r="BR48" s="166"/>
      <c r="BS48" s="165" t="str">
        <f ca="1">IFERROR(IF(BP48="","","3F#"&amp;BR48&amp;"mm²+N"&amp;VLOOKUP($BR$5,NEUTRO!$A:$B,2,0)&amp;"mm²+T"&amp;VLOOKUP($BR$5,TERRA!$A:$B,2,0)&amp;"mm²"),"")</f>
        <v/>
      </c>
      <c r="BT48" s="110"/>
      <c r="BU48" s="2"/>
    </row>
    <row r="49" spans="1:73" ht="36.5" hidden="1" thickBot="1" x14ac:dyDescent="0.4">
      <c r="A49" s="106">
        <v>45</v>
      </c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  <c r="AO49" s="107"/>
      <c r="AP49" s="101" t="str">
        <f t="shared" si="9"/>
        <v/>
      </c>
      <c r="AQ49" s="108" t="str">
        <f t="shared" si="0"/>
        <v/>
      </c>
      <c r="AR49" s="109" t="str">
        <f t="shared" si="5"/>
        <v/>
      </c>
      <c r="AS49" s="107"/>
      <c r="AT49" s="170"/>
      <c r="AU49" s="107"/>
      <c r="AV49" s="107"/>
      <c r="AW49" s="107"/>
      <c r="AX49" s="107"/>
      <c r="AY49" s="172" t="s">
        <v>278</v>
      </c>
      <c r="AZ49" s="172" t="s">
        <v>262</v>
      </c>
      <c r="BA49" s="172" t="e">
        <f>INDEX(AGRUPAMENTO!C47:N51,MATCH(AY49,AGRUPAMENTO!B47:B51,0),MATCH(AZ49,AGRUPAMENTO!C46:N46,0))</f>
        <v>#N/A</v>
      </c>
      <c r="BB49" s="174" t="s">
        <v>254</v>
      </c>
      <c r="BC49" s="176">
        <v>30</v>
      </c>
      <c r="BD49" s="172" t="e">
        <f>IF(BB49="SUBTERRÂNEA",IF(AV49="PVC",VLOOKUP(BC49,TEMPERATURA!G46:H60,2,0),VLOOKUP(BC49,TEMPERATURA!G46:I60,3,0)),IF(AV49="PVC",VLOOKUP(BC49,TEMPERATURA!B46:C60,2,0),VLOOKUP(BC49,TEMPERATURA!B46:D60,3,0)))</f>
        <v>#N/A</v>
      </c>
      <c r="BE49" s="102" t="str">
        <f t="shared" si="10"/>
        <v/>
      </c>
      <c r="BF49" s="108" t="str">
        <f t="shared" si="11"/>
        <v/>
      </c>
      <c r="BG49" s="102" t="e">
        <f t="shared" si="7"/>
        <v>#VALUE!</v>
      </c>
      <c r="BH49" s="108" t="str">
        <f t="shared" si="8"/>
        <v/>
      </c>
      <c r="BI49" s="173" t="str">
        <f>IF(AP49="","",
   IF(COUNTA(V49:AE49)&gt;=1,
      MAX(IFERROR(_xlfn.AGGREGATE(15,6,DISJUNTORES!$C$2:$C$100/(DISJUNTORES!$C$2:$C$100&gt;=BF49),1),""),25),
   IF(COUNTA(L49:U49)&gt;=1,
      MAX(IFERROR(_xlfn.AGGREGATE(15,6,DISJUNTORES!$C$2:$C$100/(DISJUNTORES!$C$2:$C$100&gt;=BF49),1),""),20),
   IF(COUNTA(A49:K49)&gt;=1,
      MAX(IFERROR(_xlfn.AGGREGATE(15,6,DISJUNTORES!$C$2:$C$100/(DISJUNTORES!$C$2:$C$100&gt;=BF49),1),""),16),
   IFERROR(_xlfn.AGGREGATE(15,6,DISJUNTORES!$C$2:$C$100/(DISJUNTORES!$C$2:$C$100&gt;=BF49),1),"")))))</f>
        <v/>
      </c>
      <c r="BJ49" s="107"/>
      <c r="BK49" s="107"/>
      <c r="BL49" s="107"/>
      <c r="BM49" s="109" t="str">
        <f t="shared" si="12"/>
        <v/>
      </c>
      <c r="BN49" s="109" t="str">
        <f t="shared" si="13"/>
        <v/>
      </c>
      <c r="BO49" s="109" t="str">
        <f t="shared" si="14"/>
        <v/>
      </c>
      <c r="BP49" s="104" t="str" cm="1">
        <f t="array" ref="BP49">IFERROR(
    INDEX(
        IF(AV49="PVC", 'CAP CONDUÇÃO 70º'!$A:$A, 'CAP CONDUÇÃO 90º'!$A:$A),
        IF(
            COUNTIF(
                IF(AV49="PVC",
                   CHOOSE(
                       MATCH(AU49,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MATCH(AU49,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BI49
            ) &gt; 0,
            MATCH(BI49,
                IF(AV49="PVC",
                   CHOOSE(
                       MATCH(AU49,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MATCH(AU49,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MATCH(BI49,
                IF(AV49="PVC",
                   CHOOSE(
                       MATCH(AU49,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MATCH(AU49,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49" s="166"/>
      <c r="BR49" s="166"/>
      <c r="BS49" s="165" t="str">
        <f ca="1">IFERROR(IF(BP49="","","3F#"&amp;BR49&amp;"mm²+N"&amp;VLOOKUP($BR$5,NEUTRO!$A:$B,2,0)&amp;"mm²+T"&amp;VLOOKUP($BR$5,TERRA!$A:$B,2,0)&amp;"mm²"),"")</f>
        <v/>
      </c>
      <c r="BT49" s="110"/>
      <c r="BU49" s="2"/>
    </row>
    <row r="50" spans="1:73" ht="36.5" hidden="1" thickBot="1" x14ac:dyDescent="0.4">
      <c r="A50" s="106">
        <v>46</v>
      </c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107"/>
      <c r="AN50" s="107"/>
      <c r="AO50" s="107"/>
      <c r="AP50" s="101" t="str">
        <f t="shared" si="9"/>
        <v/>
      </c>
      <c r="AQ50" s="108" t="str">
        <f t="shared" si="0"/>
        <v/>
      </c>
      <c r="AR50" s="109" t="str">
        <f t="shared" si="5"/>
        <v/>
      </c>
      <c r="AS50" s="107"/>
      <c r="AT50" s="170"/>
      <c r="AU50" s="107"/>
      <c r="AV50" s="107"/>
      <c r="AW50" s="107"/>
      <c r="AX50" s="107"/>
      <c r="AY50" s="172" t="s">
        <v>278</v>
      </c>
      <c r="AZ50" s="172" t="s">
        <v>262</v>
      </c>
      <c r="BA50" s="172" t="e">
        <f>INDEX(AGRUPAMENTO!C48:N52,MATCH(AY50,AGRUPAMENTO!B48:B52,0),MATCH(AZ50,AGRUPAMENTO!C47:N47,0))</f>
        <v>#N/A</v>
      </c>
      <c r="BB50" s="174" t="s">
        <v>254</v>
      </c>
      <c r="BC50" s="176">
        <v>30</v>
      </c>
      <c r="BD50" s="172" t="e">
        <f>IF(BB50="SUBTERRÂNEA",IF(AV50="PVC",VLOOKUP(BC50,TEMPERATURA!G47:H61,2,0),VLOOKUP(BC50,TEMPERATURA!G47:I61,3,0)),IF(AV50="PVC",VLOOKUP(BC50,TEMPERATURA!B47:C61,2,0),VLOOKUP(BC50,TEMPERATURA!B47:D61,3,0)))</f>
        <v>#N/A</v>
      </c>
      <c r="BE50" s="102" t="str">
        <f t="shared" si="10"/>
        <v/>
      </c>
      <c r="BF50" s="108" t="str">
        <f t="shared" si="11"/>
        <v/>
      </c>
      <c r="BG50" s="102" t="e">
        <f t="shared" si="7"/>
        <v>#VALUE!</v>
      </c>
      <c r="BH50" s="108" t="str">
        <f t="shared" si="8"/>
        <v/>
      </c>
      <c r="BI50" s="173" t="str">
        <f>IF(AP50="","",
   IF(COUNTA(V50:AE50)&gt;=1,
      MAX(IFERROR(_xlfn.AGGREGATE(15,6,DISJUNTORES!$C$2:$C$100/(DISJUNTORES!$C$2:$C$100&gt;=BF50),1),""),25),
   IF(COUNTA(L50:U50)&gt;=1,
      MAX(IFERROR(_xlfn.AGGREGATE(15,6,DISJUNTORES!$C$2:$C$100/(DISJUNTORES!$C$2:$C$100&gt;=BF50),1),""),20),
   IF(COUNTA(A50:K50)&gt;=1,
      MAX(IFERROR(_xlfn.AGGREGATE(15,6,DISJUNTORES!$C$2:$C$100/(DISJUNTORES!$C$2:$C$100&gt;=BF50),1),""),16),
   IFERROR(_xlfn.AGGREGATE(15,6,DISJUNTORES!$C$2:$C$100/(DISJUNTORES!$C$2:$C$100&gt;=BF50),1),"")))))</f>
        <v/>
      </c>
      <c r="BJ50" s="107"/>
      <c r="BK50" s="107"/>
      <c r="BL50" s="107"/>
      <c r="BM50" s="109" t="str">
        <f t="shared" si="12"/>
        <v/>
      </c>
      <c r="BN50" s="109" t="str">
        <f t="shared" si="13"/>
        <v/>
      </c>
      <c r="BO50" s="109" t="str">
        <f t="shared" si="14"/>
        <v/>
      </c>
      <c r="BP50" s="104" t="str" cm="1">
        <f t="array" ref="BP50">IFERROR(
    INDEX(
        IF(AV50="PVC", 'CAP CONDUÇÃO 70º'!$A:$A, 'CAP CONDUÇÃO 90º'!$A:$A),
        IF(
            COUNTIF(
                IF(AV50="PVC",
                   CHOOSE(
                       MATCH(AU50,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MATCH(AU50,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BI50
            ) &gt; 0,
            MATCH(BI50,
                IF(AV50="PVC",
                   CHOOSE(
                       MATCH(AU50,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MATCH(AU50,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MATCH(BI50,
                IF(AV50="PVC",
                   CHOOSE(
                       MATCH(AU50,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MATCH(AU50,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50" s="166"/>
      <c r="BR50" s="166"/>
      <c r="BS50" s="165" t="str">
        <f ca="1">IFERROR(IF(BP50="","","3F#"&amp;BR50&amp;"mm²+N"&amp;VLOOKUP($BR$5,NEUTRO!$A:$B,2,0)&amp;"mm²+T"&amp;VLOOKUP($BR$5,TERRA!$A:$B,2,0)&amp;"mm²"),"")</f>
        <v/>
      </c>
      <c r="BT50" s="110"/>
      <c r="BU50" s="2"/>
    </row>
    <row r="51" spans="1:73" ht="36.5" hidden="1" thickBot="1" x14ac:dyDescent="0.4">
      <c r="A51" s="106">
        <v>47</v>
      </c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1" t="str">
        <f t="shared" si="9"/>
        <v/>
      </c>
      <c r="AQ51" s="108" t="str">
        <f t="shared" si="0"/>
        <v/>
      </c>
      <c r="AR51" s="109" t="str">
        <f t="shared" si="5"/>
        <v/>
      </c>
      <c r="AS51" s="107"/>
      <c r="AT51" s="170"/>
      <c r="AU51" s="107"/>
      <c r="AV51" s="107"/>
      <c r="AW51" s="107"/>
      <c r="AX51" s="107"/>
      <c r="AY51" s="172" t="s">
        <v>278</v>
      </c>
      <c r="AZ51" s="172" t="s">
        <v>262</v>
      </c>
      <c r="BA51" s="172" t="e">
        <f>INDEX(AGRUPAMENTO!C49:N53,MATCH(AY51,AGRUPAMENTO!B49:B53,0),MATCH(AZ51,AGRUPAMENTO!C48:N48,0))</f>
        <v>#N/A</v>
      </c>
      <c r="BB51" s="174" t="s">
        <v>254</v>
      </c>
      <c r="BC51" s="176">
        <v>30</v>
      </c>
      <c r="BD51" s="172" t="e">
        <f>IF(BB51="SUBTERRÂNEA",IF(AV51="PVC",VLOOKUP(BC51,TEMPERATURA!G48:H62,2,0),VLOOKUP(BC51,TEMPERATURA!G48:I62,3,0)),IF(AV51="PVC",VLOOKUP(BC51,TEMPERATURA!B48:C62,2,0),VLOOKUP(BC51,TEMPERATURA!B48:D62,3,0)))</f>
        <v>#N/A</v>
      </c>
      <c r="BE51" s="102" t="str">
        <f t="shared" si="10"/>
        <v/>
      </c>
      <c r="BF51" s="108" t="str">
        <f t="shared" si="11"/>
        <v/>
      </c>
      <c r="BG51" s="102" t="e">
        <f t="shared" si="7"/>
        <v>#VALUE!</v>
      </c>
      <c r="BH51" s="108" t="str">
        <f t="shared" si="8"/>
        <v/>
      </c>
      <c r="BI51" s="173" t="str">
        <f>IF(AP51="","",
   IF(COUNTA(V51:AE51)&gt;=1,
      MAX(IFERROR(_xlfn.AGGREGATE(15,6,DISJUNTORES!$C$2:$C$100/(DISJUNTORES!$C$2:$C$100&gt;=BF51),1),""),25),
   IF(COUNTA(L51:U51)&gt;=1,
      MAX(IFERROR(_xlfn.AGGREGATE(15,6,DISJUNTORES!$C$2:$C$100/(DISJUNTORES!$C$2:$C$100&gt;=BF51),1),""),20),
   IF(COUNTA(A51:K51)&gt;=1,
      MAX(IFERROR(_xlfn.AGGREGATE(15,6,DISJUNTORES!$C$2:$C$100/(DISJUNTORES!$C$2:$C$100&gt;=BF51),1),""),16),
   IFERROR(_xlfn.AGGREGATE(15,6,DISJUNTORES!$C$2:$C$100/(DISJUNTORES!$C$2:$C$100&gt;=BF51),1),"")))))</f>
        <v/>
      </c>
      <c r="BJ51" s="107"/>
      <c r="BK51" s="107"/>
      <c r="BL51" s="107"/>
      <c r="BM51" s="109" t="str">
        <f t="shared" si="12"/>
        <v/>
      </c>
      <c r="BN51" s="109" t="str">
        <f t="shared" si="13"/>
        <v/>
      </c>
      <c r="BO51" s="109" t="str">
        <f t="shared" si="14"/>
        <v/>
      </c>
      <c r="BP51" s="104" t="str" cm="1">
        <f t="array" ref="BP51">IFERROR(
    INDEX(
        IF(AV51="PVC", 'CAP CONDUÇÃO 70º'!$A:$A, 'CAP CONDUÇÃO 90º'!$A:$A),
        IF(
            COUNTIF(
                IF(AV51="PVC",
                   CHOOSE(
                       MATCH(AU51,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MATCH(AU51,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BI51
            ) &gt; 0,
            MATCH(BI51,
                IF(AV51="PVC",
                   CHOOSE(
                       MATCH(AU51,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MATCH(AU51,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MATCH(BI51,
                IF(AV51="PVC",
                   CHOOSE(
                       MATCH(AU51,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MATCH(AU51,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51" s="166"/>
      <c r="BR51" s="166"/>
      <c r="BS51" s="165" t="str">
        <f ca="1">IFERROR(IF(BP51="","","3F#"&amp;BR51&amp;"mm²+N"&amp;VLOOKUP($BR$5,NEUTRO!$A:$B,2,0)&amp;"mm²+T"&amp;VLOOKUP($BR$5,TERRA!$A:$B,2,0)&amp;"mm²"),"")</f>
        <v/>
      </c>
      <c r="BT51" s="110"/>
      <c r="BU51" s="2"/>
    </row>
    <row r="52" spans="1:73" ht="36.5" hidden="1" thickBot="1" x14ac:dyDescent="0.4">
      <c r="A52" s="106">
        <v>48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1" t="str">
        <f t="shared" si="9"/>
        <v/>
      </c>
      <c r="AQ52" s="108" t="str">
        <f t="shared" si="0"/>
        <v/>
      </c>
      <c r="AR52" s="109" t="str">
        <f t="shared" si="5"/>
        <v/>
      </c>
      <c r="AS52" s="107"/>
      <c r="AT52" s="170"/>
      <c r="AU52" s="107"/>
      <c r="AV52" s="107"/>
      <c r="AW52" s="107"/>
      <c r="AX52" s="107"/>
      <c r="AY52" s="172" t="s">
        <v>278</v>
      </c>
      <c r="AZ52" s="172" t="s">
        <v>262</v>
      </c>
      <c r="BA52" s="172" t="e">
        <f>INDEX(AGRUPAMENTO!C50:N54,MATCH(AY52,AGRUPAMENTO!B50:B54,0),MATCH(AZ52,AGRUPAMENTO!C49:N49,0))</f>
        <v>#N/A</v>
      </c>
      <c r="BB52" s="174" t="s">
        <v>254</v>
      </c>
      <c r="BC52" s="176">
        <v>30</v>
      </c>
      <c r="BD52" s="172" t="e">
        <f>IF(BB52="SUBTERRÂNEA",IF(AV52="PVC",VLOOKUP(BC52,TEMPERATURA!G49:H63,2,0),VLOOKUP(BC52,TEMPERATURA!G49:I63,3,0)),IF(AV52="PVC",VLOOKUP(BC52,TEMPERATURA!B49:C63,2,0),VLOOKUP(BC52,TEMPERATURA!B49:D63,3,0)))</f>
        <v>#N/A</v>
      </c>
      <c r="BE52" s="102" t="str">
        <f t="shared" si="10"/>
        <v/>
      </c>
      <c r="BF52" s="108" t="str">
        <f t="shared" si="11"/>
        <v/>
      </c>
      <c r="BG52" s="102" t="e">
        <f t="shared" si="7"/>
        <v>#VALUE!</v>
      </c>
      <c r="BH52" s="108" t="str">
        <f t="shared" si="8"/>
        <v/>
      </c>
      <c r="BI52" s="173" t="str">
        <f>IF(AP52="","",
   IF(COUNTA(V52:AE52)&gt;=1,
      MAX(IFERROR(_xlfn.AGGREGATE(15,6,DISJUNTORES!$C$2:$C$100/(DISJUNTORES!$C$2:$C$100&gt;=BF52),1),""),25),
   IF(COUNTA(L52:U52)&gt;=1,
      MAX(IFERROR(_xlfn.AGGREGATE(15,6,DISJUNTORES!$C$2:$C$100/(DISJUNTORES!$C$2:$C$100&gt;=BF52),1),""),20),
   IF(COUNTA(A52:K52)&gt;=1,
      MAX(IFERROR(_xlfn.AGGREGATE(15,6,DISJUNTORES!$C$2:$C$100/(DISJUNTORES!$C$2:$C$100&gt;=BF52),1),""),16),
   IFERROR(_xlfn.AGGREGATE(15,6,DISJUNTORES!$C$2:$C$100/(DISJUNTORES!$C$2:$C$100&gt;=BF52),1),"")))))</f>
        <v/>
      </c>
      <c r="BJ52" s="107"/>
      <c r="BK52" s="107"/>
      <c r="BL52" s="107"/>
      <c r="BM52" s="109" t="str">
        <f t="shared" si="12"/>
        <v/>
      </c>
      <c r="BN52" s="109" t="str">
        <f t="shared" si="13"/>
        <v/>
      </c>
      <c r="BO52" s="109" t="str">
        <f t="shared" si="14"/>
        <v/>
      </c>
      <c r="BP52" s="104" t="str" cm="1">
        <f t="array" ref="BP52">IFERROR(
    INDEX(
        IF(AV52="PVC", 'CAP CONDUÇÃO 70º'!$A:$A, 'CAP CONDUÇÃO 90º'!$A:$A),
        IF(
            COUNTIF(
                IF(AV52="PVC",
                   CHOOSE(
                       MATCH(AU52,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MATCH(AU52,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BI52
            ) &gt; 0,
            MATCH(BI52,
                IF(AV52="PVC",
                   CHOOSE(
                       MATCH(AU52,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MATCH(AU52,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MATCH(BI52,
                IF(AV52="PVC",
                   CHOOSE(
                       MATCH(AU52,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MATCH(AU52,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52" s="166"/>
      <c r="BR52" s="166"/>
      <c r="BS52" s="165" t="str">
        <f ca="1">IFERROR(IF(BP52="","","3F#"&amp;BR52&amp;"mm²+N"&amp;VLOOKUP($BR$5,NEUTRO!$A:$B,2,0)&amp;"mm²+T"&amp;VLOOKUP($BR$5,TERRA!$A:$B,2,0)&amp;"mm²"),"")</f>
        <v/>
      </c>
      <c r="BT52" s="110"/>
      <c r="BU52" s="2"/>
    </row>
    <row r="53" spans="1:73" ht="36.5" hidden="1" thickBot="1" x14ac:dyDescent="0.4">
      <c r="A53" s="106">
        <v>49</v>
      </c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1" t="str">
        <f t="shared" si="9"/>
        <v/>
      </c>
      <c r="AQ53" s="108" t="str">
        <f t="shared" si="0"/>
        <v/>
      </c>
      <c r="AR53" s="109" t="str">
        <f t="shared" si="5"/>
        <v/>
      </c>
      <c r="AS53" s="107"/>
      <c r="AT53" s="170"/>
      <c r="AU53" s="107"/>
      <c r="AV53" s="107"/>
      <c r="AW53" s="107"/>
      <c r="AX53" s="107"/>
      <c r="AY53" s="172" t="s">
        <v>278</v>
      </c>
      <c r="AZ53" s="172" t="s">
        <v>262</v>
      </c>
      <c r="BA53" s="172" t="e">
        <f>INDEX(AGRUPAMENTO!C51:N55,MATCH(AY53,AGRUPAMENTO!B51:B55,0),MATCH(AZ53,AGRUPAMENTO!C50:N50,0))</f>
        <v>#N/A</v>
      </c>
      <c r="BB53" s="174" t="s">
        <v>254</v>
      </c>
      <c r="BC53" s="176">
        <v>30</v>
      </c>
      <c r="BD53" s="172" t="e">
        <f>IF(BB53="SUBTERRÂNEA",IF(AV53="PVC",VLOOKUP(BC53,TEMPERATURA!G50:H64,2,0),VLOOKUP(BC53,TEMPERATURA!G50:I64,3,0)),IF(AV53="PVC",VLOOKUP(BC53,TEMPERATURA!B50:C64,2,0),VLOOKUP(BC53,TEMPERATURA!B50:D64,3,0)))</f>
        <v>#N/A</v>
      </c>
      <c r="BE53" s="102" t="str">
        <f t="shared" si="10"/>
        <v/>
      </c>
      <c r="BF53" s="108" t="str">
        <f t="shared" si="11"/>
        <v/>
      </c>
      <c r="BG53" s="102" t="e">
        <f t="shared" si="7"/>
        <v>#VALUE!</v>
      </c>
      <c r="BH53" s="108" t="str">
        <f t="shared" si="8"/>
        <v/>
      </c>
      <c r="BI53" s="173" t="str">
        <f>IF(AP53="","",
   IF(COUNTA(V53:AE53)&gt;=1,
      MAX(IFERROR(_xlfn.AGGREGATE(15,6,DISJUNTORES!$C$2:$C$100/(DISJUNTORES!$C$2:$C$100&gt;=BF53),1),""),25),
   IF(COUNTA(L53:U53)&gt;=1,
      MAX(IFERROR(_xlfn.AGGREGATE(15,6,DISJUNTORES!$C$2:$C$100/(DISJUNTORES!$C$2:$C$100&gt;=BF53),1),""),20),
   IF(COUNTA(A53:K53)&gt;=1,
      MAX(IFERROR(_xlfn.AGGREGATE(15,6,DISJUNTORES!$C$2:$C$100/(DISJUNTORES!$C$2:$C$100&gt;=BF53),1),""),16),
   IFERROR(_xlfn.AGGREGATE(15,6,DISJUNTORES!$C$2:$C$100/(DISJUNTORES!$C$2:$C$100&gt;=BF53),1),"")))))</f>
        <v/>
      </c>
      <c r="BJ53" s="107"/>
      <c r="BK53" s="107"/>
      <c r="BL53" s="107"/>
      <c r="BM53" s="109" t="str">
        <f t="shared" si="12"/>
        <v/>
      </c>
      <c r="BN53" s="109" t="str">
        <f t="shared" si="13"/>
        <v/>
      </c>
      <c r="BO53" s="109" t="str">
        <f t="shared" si="14"/>
        <v/>
      </c>
      <c r="BP53" s="104" t="str" cm="1">
        <f t="array" ref="BP53">IFERROR(
    INDEX(
        IF(AV53="PVC", 'CAP CONDUÇÃO 70º'!$A:$A, 'CAP CONDUÇÃO 90º'!$A:$A),
        IF(
            COUNTIF(
                IF(AV53="PVC",
                   CHOOSE(
                       MATCH(AU53,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MATCH(AU53,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BI53
            ) &gt; 0,
            MATCH(BI53,
                IF(AV53="PVC",
                   CHOOSE(
                       MATCH(AU53,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MATCH(AU53,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MATCH(BI53,
                IF(AV53="PVC",
                   CHOOSE(
                       MATCH(AU53,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MATCH(AU53,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53" s="166"/>
      <c r="BR53" s="166"/>
      <c r="BS53" s="165" t="str">
        <f ca="1">IFERROR(IF(BP53="","","3F#"&amp;BR53&amp;"mm²+N"&amp;VLOOKUP($BR$5,NEUTRO!$A:$B,2,0)&amp;"mm²+T"&amp;VLOOKUP($BR$5,TERRA!$A:$B,2,0)&amp;"mm²"),"")</f>
        <v/>
      </c>
      <c r="BT53" s="110"/>
      <c r="BU53" s="2"/>
    </row>
    <row r="54" spans="1:73" ht="36.5" hidden="1" thickBot="1" x14ac:dyDescent="0.4">
      <c r="A54" s="106">
        <v>50</v>
      </c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  <c r="AO54" s="107"/>
      <c r="AP54" s="101" t="str">
        <f t="shared" si="9"/>
        <v/>
      </c>
      <c r="AQ54" s="108" t="str">
        <f t="shared" si="0"/>
        <v/>
      </c>
      <c r="AR54" s="109" t="str">
        <f t="shared" si="5"/>
        <v/>
      </c>
      <c r="AS54" s="107"/>
      <c r="AT54" s="170"/>
      <c r="AU54" s="107"/>
      <c r="AV54" s="107"/>
      <c r="AW54" s="107"/>
      <c r="AX54" s="107"/>
      <c r="AY54" s="172" t="s">
        <v>278</v>
      </c>
      <c r="AZ54" s="172" t="s">
        <v>262</v>
      </c>
      <c r="BA54" s="172" t="e">
        <f>INDEX(AGRUPAMENTO!C52:N56,MATCH(AY54,AGRUPAMENTO!B52:B56,0),MATCH(AZ54,AGRUPAMENTO!C51:N51,0))</f>
        <v>#N/A</v>
      </c>
      <c r="BB54" s="174" t="s">
        <v>254</v>
      </c>
      <c r="BC54" s="176">
        <v>30</v>
      </c>
      <c r="BD54" s="172" t="e">
        <f>IF(BB54="SUBTERRÂNEA",IF(AV54="PVC",VLOOKUP(BC54,TEMPERATURA!G51:H65,2,0),VLOOKUP(BC54,TEMPERATURA!G51:I65,3,0)),IF(AV54="PVC",VLOOKUP(BC54,TEMPERATURA!B51:C65,2,0),VLOOKUP(BC54,TEMPERATURA!B51:D65,3,0)))</f>
        <v>#N/A</v>
      </c>
      <c r="BE54" s="102" t="str">
        <f t="shared" si="10"/>
        <v/>
      </c>
      <c r="BF54" s="108" t="str">
        <f t="shared" si="11"/>
        <v/>
      </c>
      <c r="BG54" s="102" t="e">
        <f t="shared" si="7"/>
        <v>#VALUE!</v>
      </c>
      <c r="BH54" s="108" t="str">
        <f t="shared" si="8"/>
        <v/>
      </c>
      <c r="BI54" s="173" t="str">
        <f>IF(AP54="","",
   IF(COUNTA(V54:AE54)&gt;=1,
      MAX(IFERROR(_xlfn.AGGREGATE(15,6,DISJUNTORES!$C$2:$C$100/(DISJUNTORES!$C$2:$C$100&gt;=BF54),1),""),25),
   IF(COUNTA(L54:U54)&gt;=1,
      MAX(IFERROR(_xlfn.AGGREGATE(15,6,DISJUNTORES!$C$2:$C$100/(DISJUNTORES!$C$2:$C$100&gt;=BF54),1),""),20),
   IF(COUNTA(A54:K54)&gt;=1,
      MAX(IFERROR(_xlfn.AGGREGATE(15,6,DISJUNTORES!$C$2:$C$100/(DISJUNTORES!$C$2:$C$100&gt;=BF54),1),""),16),
   IFERROR(_xlfn.AGGREGATE(15,6,DISJUNTORES!$C$2:$C$100/(DISJUNTORES!$C$2:$C$100&gt;=BF54),1),"")))))</f>
        <v/>
      </c>
      <c r="BJ54" s="107"/>
      <c r="BK54" s="107"/>
      <c r="BL54" s="107"/>
      <c r="BM54" s="109" t="str">
        <f t="shared" si="12"/>
        <v/>
      </c>
      <c r="BN54" s="109" t="str">
        <f t="shared" si="13"/>
        <v/>
      </c>
      <c r="BO54" s="109" t="str">
        <f t="shared" si="14"/>
        <v/>
      </c>
      <c r="BP54" s="104" t="str" cm="1">
        <f t="array" ref="BP54">IFERROR(
    INDEX(
        IF(AV54="PVC", 'CAP CONDUÇÃO 70º'!$A:$A, 'CAP CONDUÇÃO 90º'!$A:$A),
        IF(
            COUNTIF(
                IF(AV54="PVC",
                   CHOOSE(
                       MATCH(AU54,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MATCH(AU54,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BI54
            ) &gt; 0,
            MATCH(BI54,
                IF(AV54="PVC",
                   CHOOSE(
                       MATCH(AU54,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MATCH(AU54,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MATCH(BI54,
                IF(AV54="PVC",
                   CHOOSE(
                       MATCH(AU54,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MATCH(AU54,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54" s="166"/>
      <c r="BR54" s="166"/>
      <c r="BS54" s="165" t="str">
        <f ca="1">IFERROR(IF(BP54="","","3F#"&amp;BR54&amp;"mm²+N"&amp;VLOOKUP($BR$5,NEUTRO!$A:$B,2,0)&amp;"mm²+T"&amp;VLOOKUP($BR$5,TERRA!$A:$B,2,0)&amp;"mm²"),"")</f>
        <v/>
      </c>
      <c r="BT54" s="110"/>
      <c r="BU54" s="2"/>
    </row>
    <row r="55" spans="1:73" ht="36.5" hidden="1" thickBot="1" x14ac:dyDescent="0.4">
      <c r="A55" s="106">
        <v>51</v>
      </c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  <c r="AL55" s="107"/>
      <c r="AM55" s="107"/>
      <c r="AN55" s="107"/>
      <c r="AO55" s="107"/>
      <c r="AP55" s="101" t="str">
        <f t="shared" si="9"/>
        <v/>
      </c>
      <c r="AQ55" s="108" t="str">
        <f t="shared" si="0"/>
        <v/>
      </c>
      <c r="AR55" s="109" t="str">
        <f t="shared" si="5"/>
        <v/>
      </c>
      <c r="AS55" s="107"/>
      <c r="AT55" s="170"/>
      <c r="AU55" s="107"/>
      <c r="AV55" s="107"/>
      <c r="AW55" s="107"/>
      <c r="AX55" s="107"/>
      <c r="AY55" s="172" t="s">
        <v>278</v>
      </c>
      <c r="AZ55" s="172" t="s">
        <v>262</v>
      </c>
      <c r="BA55" s="172" t="e">
        <f>INDEX(AGRUPAMENTO!C53:N57,MATCH(AY55,AGRUPAMENTO!B53:B57,0),MATCH(AZ55,AGRUPAMENTO!C52:N52,0))</f>
        <v>#N/A</v>
      </c>
      <c r="BB55" s="174" t="s">
        <v>254</v>
      </c>
      <c r="BC55" s="176">
        <v>30</v>
      </c>
      <c r="BD55" s="172" t="e">
        <f>IF(BB55="SUBTERRÂNEA",IF(AV55="PVC",VLOOKUP(BC55,TEMPERATURA!G52:H66,2,0),VLOOKUP(BC55,TEMPERATURA!G52:I66,3,0)),IF(AV55="PVC",VLOOKUP(BC55,TEMPERATURA!B52:C66,2,0),VLOOKUP(BC55,TEMPERATURA!B52:D66,3,0)))</f>
        <v>#N/A</v>
      </c>
      <c r="BE55" s="102" t="str">
        <f t="shared" si="10"/>
        <v/>
      </c>
      <c r="BF55" s="108" t="str">
        <f t="shared" si="11"/>
        <v/>
      </c>
      <c r="BG55" s="102" t="e">
        <f t="shared" si="7"/>
        <v>#VALUE!</v>
      </c>
      <c r="BH55" s="108" t="str">
        <f t="shared" si="8"/>
        <v/>
      </c>
      <c r="BI55" s="173" t="str">
        <f>IF(AP55="","",
   IF(COUNTA(V55:AE55)&gt;=1,
      MAX(IFERROR(_xlfn.AGGREGATE(15,6,DISJUNTORES!$C$2:$C$100/(DISJUNTORES!$C$2:$C$100&gt;=BF55),1),""),25),
   IF(COUNTA(L55:U55)&gt;=1,
      MAX(IFERROR(_xlfn.AGGREGATE(15,6,DISJUNTORES!$C$2:$C$100/(DISJUNTORES!$C$2:$C$100&gt;=BF55),1),""),20),
   IF(COUNTA(A55:K55)&gt;=1,
      MAX(IFERROR(_xlfn.AGGREGATE(15,6,DISJUNTORES!$C$2:$C$100/(DISJUNTORES!$C$2:$C$100&gt;=BF55),1),""),16),
   IFERROR(_xlfn.AGGREGATE(15,6,DISJUNTORES!$C$2:$C$100/(DISJUNTORES!$C$2:$C$100&gt;=BF55),1),"")))))</f>
        <v/>
      </c>
      <c r="BJ55" s="107"/>
      <c r="BK55" s="107"/>
      <c r="BL55" s="107"/>
      <c r="BM55" s="109" t="str">
        <f t="shared" si="12"/>
        <v/>
      </c>
      <c r="BN55" s="109" t="str">
        <f t="shared" si="13"/>
        <v/>
      </c>
      <c r="BO55" s="109" t="str">
        <f t="shared" si="14"/>
        <v/>
      </c>
      <c r="BP55" s="104" t="str" cm="1">
        <f t="array" ref="BP55">IFERROR(
    INDEX(
        IF(AV55="PVC", 'CAP CONDUÇÃO 70º'!$A:$A, 'CAP CONDUÇÃO 90º'!$A:$A),
        IF(
            COUNTIF(
                IF(AV55="PVC",
                   CHOOSE(
                       MATCH(AU55,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MATCH(AU55,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BI55
            ) &gt; 0,
            MATCH(BI55,
                IF(AV55="PVC",
                   CHOOSE(
                       MATCH(AU55,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MATCH(AU55,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MATCH(BI55,
                IF(AV55="PVC",
                   CHOOSE(
                       MATCH(AU55,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MATCH(AU55,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55" s="166"/>
      <c r="BR55" s="166"/>
      <c r="BS55" s="165" t="str">
        <f ca="1">IFERROR(IF(BP55="","","3F#"&amp;BR55&amp;"mm²+N"&amp;VLOOKUP($BR$5,NEUTRO!$A:$B,2,0)&amp;"mm²+T"&amp;VLOOKUP($BR$5,TERRA!$A:$B,2,0)&amp;"mm²"),"")</f>
        <v/>
      </c>
      <c r="BT55" s="110"/>
      <c r="BU55" s="2"/>
    </row>
    <row r="56" spans="1:73" ht="36.5" hidden="1" thickBot="1" x14ac:dyDescent="0.4">
      <c r="A56" s="106">
        <v>52</v>
      </c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  <c r="AI56" s="107"/>
      <c r="AJ56" s="107"/>
      <c r="AK56" s="107"/>
      <c r="AL56" s="107"/>
      <c r="AM56" s="107"/>
      <c r="AN56" s="107"/>
      <c r="AO56" s="107"/>
      <c r="AP56" s="101" t="str">
        <f t="shared" si="9"/>
        <v/>
      </c>
      <c r="AQ56" s="108" t="str">
        <f t="shared" si="0"/>
        <v/>
      </c>
      <c r="AR56" s="109" t="str">
        <f t="shared" si="5"/>
        <v/>
      </c>
      <c r="AS56" s="107"/>
      <c r="AT56" s="170"/>
      <c r="AU56" s="107"/>
      <c r="AV56" s="107"/>
      <c r="AW56" s="107"/>
      <c r="AX56" s="107"/>
      <c r="AY56" s="172" t="s">
        <v>278</v>
      </c>
      <c r="AZ56" s="172" t="s">
        <v>262</v>
      </c>
      <c r="BA56" s="172" t="e">
        <f>INDEX(AGRUPAMENTO!C54:N58,MATCH(AY56,AGRUPAMENTO!B54:B58,0),MATCH(AZ56,AGRUPAMENTO!C53:N53,0))</f>
        <v>#N/A</v>
      </c>
      <c r="BB56" s="174" t="s">
        <v>254</v>
      </c>
      <c r="BC56" s="176">
        <v>30</v>
      </c>
      <c r="BD56" s="172" t="e">
        <f>IF(BB56="SUBTERRÂNEA",IF(AV56="PVC",VLOOKUP(BC56,TEMPERATURA!G53:H67,2,0),VLOOKUP(BC56,TEMPERATURA!G53:I67,3,0)),IF(AV56="PVC",VLOOKUP(BC56,TEMPERATURA!B53:C67,2,0),VLOOKUP(BC56,TEMPERATURA!B53:D67,3,0)))</f>
        <v>#N/A</v>
      </c>
      <c r="BE56" s="102" t="str">
        <f t="shared" si="10"/>
        <v/>
      </c>
      <c r="BF56" s="108" t="str">
        <f t="shared" si="11"/>
        <v/>
      </c>
      <c r="BG56" s="102" t="e">
        <f t="shared" si="7"/>
        <v>#VALUE!</v>
      </c>
      <c r="BH56" s="108" t="str">
        <f t="shared" si="8"/>
        <v/>
      </c>
      <c r="BI56" s="173" t="str">
        <f>IF(AP56="","",
   IF(COUNTA(V56:AE56)&gt;=1,
      MAX(IFERROR(_xlfn.AGGREGATE(15,6,DISJUNTORES!$C$2:$C$100/(DISJUNTORES!$C$2:$C$100&gt;=BF56),1),""),25),
   IF(COUNTA(L56:U56)&gt;=1,
      MAX(IFERROR(_xlfn.AGGREGATE(15,6,DISJUNTORES!$C$2:$C$100/(DISJUNTORES!$C$2:$C$100&gt;=BF56),1),""),20),
   IF(COUNTA(A56:K56)&gt;=1,
      MAX(IFERROR(_xlfn.AGGREGATE(15,6,DISJUNTORES!$C$2:$C$100/(DISJUNTORES!$C$2:$C$100&gt;=BF56),1),""),16),
   IFERROR(_xlfn.AGGREGATE(15,6,DISJUNTORES!$C$2:$C$100/(DISJUNTORES!$C$2:$C$100&gt;=BF56),1),"")))))</f>
        <v/>
      </c>
      <c r="BJ56" s="107"/>
      <c r="BK56" s="107"/>
      <c r="BL56" s="107"/>
      <c r="BM56" s="109" t="str">
        <f t="shared" si="12"/>
        <v/>
      </c>
      <c r="BN56" s="109" t="str">
        <f t="shared" si="13"/>
        <v/>
      </c>
      <c r="BO56" s="109" t="str">
        <f t="shared" si="14"/>
        <v/>
      </c>
      <c r="BP56" s="104" t="str" cm="1">
        <f t="array" ref="BP56">IFERROR(
    INDEX(
        IF(AV56="PVC", 'CAP CONDUÇÃO 70º'!$A:$A, 'CAP CONDUÇÃO 90º'!$A:$A),
        IF(
            COUNTIF(
                IF(AV56="PVC",
                   CHOOSE(
                       MATCH(AU56,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MATCH(AU56,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BI56
            ) &gt; 0,
            MATCH(BI56,
                IF(AV56="PVC",
                   CHOOSE(
                       MATCH(AU56,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MATCH(AU56,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MATCH(BI56,
                IF(AV56="PVC",
                   CHOOSE(
                       MATCH(AU56,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MATCH(AU56,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56" s="166"/>
      <c r="BR56" s="166"/>
      <c r="BS56" s="165" t="str">
        <f ca="1">IFERROR(IF(BP56="","","3F#"&amp;BR56&amp;"mm²+N"&amp;VLOOKUP($BR$5,NEUTRO!$A:$B,2,0)&amp;"mm²+T"&amp;VLOOKUP($BR$5,TERRA!$A:$B,2,0)&amp;"mm²"),"")</f>
        <v/>
      </c>
      <c r="BT56" s="110"/>
      <c r="BU56" s="2"/>
    </row>
    <row r="57" spans="1:73" ht="36.5" hidden="1" thickBot="1" x14ac:dyDescent="0.4">
      <c r="A57" s="106">
        <v>53</v>
      </c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107"/>
      <c r="AN57" s="107"/>
      <c r="AO57" s="107"/>
      <c r="AP57" s="101" t="str">
        <f t="shared" si="9"/>
        <v/>
      </c>
      <c r="AQ57" s="108" t="str">
        <f t="shared" si="0"/>
        <v/>
      </c>
      <c r="AR57" s="109" t="str">
        <f t="shared" si="5"/>
        <v/>
      </c>
      <c r="AS57" s="107"/>
      <c r="AT57" s="170"/>
      <c r="AU57" s="107"/>
      <c r="AV57" s="107"/>
      <c r="AW57" s="107"/>
      <c r="AX57" s="107"/>
      <c r="AY57" s="172" t="s">
        <v>278</v>
      </c>
      <c r="AZ57" s="172" t="s">
        <v>262</v>
      </c>
      <c r="BA57" s="172" t="e">
        <f>INDEX(AGRUPAMENTO!C55:N59,MATCH(AY57,AGRUPAMENTO!B55:B59,0),MATCH(AZ57,AGRUPAMENTO!C54:N54,0))</f>
        <v>#N/A</v>
      </c>
      <c r="BB57" s="174" t="s">
        <v>254</v>
      </c>
      <c r="BC57" s="176">
        <v>30</v>
      </c>
      <c r="BD57" s="172" t="e">
        <f>IF(BB57="SUBTERRÂNEA",IF(AV57="PVC",VLOOKUP(BC57,TEMPERATURA!G54:H68,2,0),VLOOKUP(BC57,TEMPERATURA!G54:I68,3,0)),IF(AV57="PVC",VLOOKUP(BC57,TEMPERATURA!B54:C68,2,0),VLOOKUP(BC57,TEMPERATURA!B54:D68,3,0)))</f>
        <v>#N/A</v>
      </c>
      <c r="BE57" s="102" t="str">
        <f t="shared" si="10"/>
        <v/>
      </c>
      <c r="BF57" s="108" t="str">
        <f t="shared" si="11"/>
        <v/>
      </c>
      <c r="BG57" s="102" t="e">
        <f t="shared" si="7"/>
        <v>#VALUE!</v>
      </c>
      <c r="BH57" s="108" t="str">
        <f t="shared" si="8"/>
        <v/>
      </c>
      <c r="BI57" s="173" t="str">
        <f>IF(AP57="","",
   IF(COUNTA(V57:AE57)&gt;=1,
      MAX(IFERROR(_xlfn.AGGREGATE(15,6,DISJUNTORES!$C$2:$C$100/(DISJUNTORES!$C$2:$C$100&gt;=BF57),1),""),25),
   IF(COUNTA(L57:U57)&gt;=1,
      MAX(IFERROR(_xlfn.AGGREGATE(15,6,DISJUNTORES!$C$2:$C$100/(DISJUNTORES!$C$2:$C$100&gt;=BF57),1),""),20),
   IF(COUNTA(A57:K57)&gt;=1,
      MAX(IFERROR(_xlfn.AGGREGATE(15,6,DISJUNTORES!$C$2:$C$100/(DISJUNTORES!$C$2:$C$100&gt;=BF57),1),""),16),
   IFERROR(_xlfn.AGGREGATE(15,6,DISJUNTORES!$C$2:$C$100/(DISJUNTORES!$C$2:$C$100&gt;=BF57),1),"")))))</f>
        <v/>
      </c>
      <c r="BJ57" s="107"/>
      <c r="BK57" s="107"/>
      <c r="BL57" s="107"/>
      <c r="BM57" s="109" t="str">
        <f t="shared" si="12"/>
        <v/>
      </c>
      <c r="BN57" s="109" t="str">
        <f t="shared" si="13"/>
        <v/>
      </c>
      <c r="BO57" s="109" t="str">
        <f t="shared" si="14"/>
        <v/>
      </c>
      <c r="BP57" s="104" t="str" cm="1">
        <f t="array" ref="BP57">IFERROR(
    INDEX(
        IF(AV57="PVC", 'CAP CONDUÇÃO 70º'!$A:$A, 'CAP CONDUÇÃO 90º'!$A:$A),
        IF(
            COUNTIF(
                IF(AV57="PVC",
                   CHOOSE(
                       MATCH(AU57,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MATCH(AU57,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BI57
            ) &gt; 0,
            MATCH(BI57,
                IF(AV57="PVC",
                   CHOOSE(
                       MATCH(AU57,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MATCH(AU57,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MATCH(BI57,
                IF(AV57="PVC",
                   CHOOSE(
                       MATCH(AU57,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MATCH(AU57,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57" s="166"/>
      <c r="BR57" s="166"/>
      <c r="BS57" s="165" t="str">
        <f ca="1">IFERROR(IF(BP57="","","3F#"&amp;BR57&amp;"mm²+N"&amp;VLOOKUP($BR$5,NEUTRO!$A:$B,2,0)&amp;"mm²+T"&amp;VLOOKUP($BR$5,TERRA!$A:$B,2,0)&amp;"mm²"),"")</f>
        <v/>
      </c>
      <c r="BT57" s="110"/>
      <c r="BU57" s="2"/>
    </row>
    <row r="58" spans="1:73" ht="36.5" hidden="1" thickBot="1" x14ac:dyDescent="0.4">
      <c r="A58" s="106">
        <v>54</v>
      </c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107"/>
      <c r="AN58" s="107"/>
      <c r="AO58" s="107"/>
      <c r="AP58" s="101" t="str">
        <f t="shared" si="9"/>
        <v/>
      </c>
      <c r="AQ58" s="108" t="str">
        <f t="shared" si="0"/>
        <v/>
      </c>
      <c r="AR58" s="109" t="str">
        <f t="shared" si="5"/>
        <v/>
      </c>
      <c r="AS58" s="107"/>
      <c r="AT58" s="170"/>
      <c r="AU58" s="107"/>
      <c r="AV58" s="107"/>
      <c r="AW58" s="107"/>
      <c r="AX58" s="107"/>
      <c r="AY58" s="172" t="s">
        <v>278</v>
      </c>
      <c r="AZ58" s="172" t="s">
        <v>262</v>
      </c>
      <c r="BA58" s="172" t="e">
        <f>INDEX(AGRUPAMENTO!C56:N60,MATCH(AY58,AGRUPAMENTO!B56:B60,0),MATCH(AZ58,AGRUPAMENTO!C55:N55,0))</f>
        <v>#N/A</v>
      </c>
      <c r="BB58" s="174" t="s">
        <v>254</v>
      </c>
      <c r="BC58" s="176">
        <v>30</v>
      </c>
      <c r="BD58" s="172" t="e">
        <f>IF(BB58="SUBTERRÂNEA",IF(AV58="PVC",VLOOKUP(BC58,TEMPERATURA!G55:H69,2,0),VLOOKUP(BC58,TEMPERATURA!G55:I69,3,0)),IF(AV58="PVC",VLOOKUP(BC58,TEMPERATURA!B55:C69,2,0),VLOOKUP(BC58,TEMPERATURA!B55:D69,3,0)))</f>
        <v>#N/A</v>
      </c>
      <c r="BE58" s="102" t="str">
        <f t="shared" si="10"/>
        <v/>
      </c>
      <c r="BF58" s="108" t="str">
        <f t="shared" si="11"/>
        <v/>
      </c>
      <c r="BG58" s="102" t="e">
        <f t="shared" si="7"/>
        <v>#VALUE!</v>
      </c>
      <c r="BH58" s="108" t="str">
        <f t="shared" si="8"/>
        <v/>
      </c>
      <c r="BI58" s="173" t="str">
        <f>IF(AP58="","",
   IF(COUNTA(V58:AE58)&gt;=1,
      MAX(IFERROR(_xlfn.AGGREGATE(15,6,DISJUNTORES!$C$2:$C$100/(DISJUNTORES!$C$2:$C$100&gt;=BF58),1),""),25),
   IF(COUNTA(L58:U58)&gt;=1,
      MAX(IFERROR(_xlfn.AGGREGATE(15,6,DISJUNTORES!$C$2:$C$100/(DISJUNTORES!$C$2:$C$100&gt;=BF58),1),""),20),
   IF(COUNTA(A58:K58)&gt;=1,
      MAX(IFERROR(_xlfn.AGGREGATE(15,6,DISJUNTORES!$C$2:$C$100/(DISJUNTORES!$C$2:$C$100&gt;=BF58),1),""),16),
   IFERROR(_xlfn.AGGREGATE(15,6,DISJUNTORES!$C$2:$C$100/(DISJUNTORES!$C$2:$C$100&gt;=BF58),1),"")))))</f>
        <v/>
      </c>
      <c r="BJ58" s="107"/>
      <c r="BK58" s="107"/>
      <c r="BL58" s="107"/>
      <c r="BM58" s="109" t="str">
        <f t="shared" si="12"/>
        <v/>
      </c>
      <c r="BN58" s="109" t="str">
        <f t="shared" si="13"/>
        <v/>
      </c>
      <c r="BO58" s="109" t="str">
        <f t="shared" si="14"/>
        <v/>
      </c>
      <c r="BP58" s="104" t="str" cm="1">
        <f t="array" ref="BP58">IFERROR(
    INDEX(
        IF(AV58="PVC", 'CAP CONDUÇÃO 70º'!$A:$A, 'CAP CONDUÇÃO 90º'!$A:$A),
        IF(
            COUNTIF(
                IF(AV58="PVC",
                   CHOOSE(
                       MATCH(AU58,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MATCH(AU58,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BI58
            ) &gt; 0,
            MATCH(BI58,
                IF(AV58="PVC",
                   CHOOSE(
                       MATCH(AU58,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MATCH(AU58,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MATCH(BI58,
                IF(AV58="PVC",
                   CHOOSE(
                       MATCH(AU58,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MATCH(AU58,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58" s="166"/>
      <c r="BR58" s="166"/>
      <c r="BS58" s="165" t="str">
        <f ca="1">IFERROR(IF(BP58="","","3F#"&amp;BR58&amp;"mm²+N"&amp;VLOOKUP($BR$5,NEUTRO!$A:$B,2,0)&amp;"mm²+T"&amp;VLOOKUP($BR$5,TERRA!$A:$B,2,0)&amp;"mm²"),"")</f>
        <v/>
      </c>
      <c r="BT58" s="110"/>
      <c r="BU58" s="2"/>
    </row>
    <row r="59" spans="1:73" ht="36.5" hidden="1" thickBot="1" x14ac:dyDescent="0.4">
      <c r="A59" s="106">
        <v>55</v>
      </c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107"/>
      <c r="AN59" s="107"/>
      <c r="AO59" s="107"/>
      <c r="AP59" s="101" t="str">
        <f t="shared" si="9"/>
        <v/>
      </c>
      <c r="AQ59" s="108" t="str">
        <f t="shared" si="0"/>
        <v/>
      </c>
      <c r="AR59" s="109" t="str">
        <f t="shared" si="5"/>
        <v/>
      </c>
      <c r="AS59" s="107"/>
      <c r="AT59" s="170"/>
      <c r="AU59" s="107"/>
      <c r="AV59" s="107"/>
      <c r="AW59" s="107"/>
      <c r="AX59" s="107"/>
      <c r="AY59" s="172" t="s">
        <v>278</v>
      </c>
      <c r="AZ59" s="172" t="s">
        <v>262</v>
      </c>
      <c r="BA59" s="172" t="e">
        <f>INDEX(AGRUPAMENTO!C57:N61,MATCH(AY59,AGRUPAMENTO!B57:B61,0),MATCH(AZ59,AGRUPAMENTO!C56:N56,0))</f>
        <v>#N/A</v>
      </c>
      <c r="BB59" s="174" t="s">
        <v>254</v>
      </c>
      <c r="BC59" s="176">
        <v>30</v>
      </c>
      <c r="BD59" s="172" t="e">
        <f>IF(BB59="SUBTERRÂNEA",IF(AV59="PVC",VLOOKUP(BC59,TEMPERATURA!G56:H70,2,0),VLOOKUP(BC59,TEMPERATURA!G56:I70,3,0)),IF(AV59="PVC",VLOOKUP(BC59,TEMPERATURA!B56:C70,2,0),VLOOKUP(BC59,TEMPERATURA!B56:D70,3,0)))</f>
        <v>#N/A</v>
      </c>
      <c r="BE59" s="102" t="str">
        <f t="shared" si="10"/>
        <v/>
      </c>
      <c r="BF59" s="108" t="str">
        <f t="shared" si="11"/>
        <v/>
      </c>
      <c r="BG59" s="102" t="e">
        <f t="shared" si="7"/>
        <v>#VALUE!</v>
      </c>
      <c r="BH59" s="108" t="str">
        <f t="shared" si="8"/>
        <v/>
      </c>
      <c r="BI59" s="173" t="str">
        <f>IF(AP59="","",
   IF(COUNTA(V59:AE59)&gt;=1,
      MAX(IFERROR(_xlfn.AGGREGATE(15,6,DISJUNTORES!$C$2:$C$100/(DISJUNTORES!$C$2:$C$100&gt;=BF59),1),""),25),
   IF(COUNTA(L59:U59)&gt;=1,
      MAX(IFERROR(_xlfn.AGGREGATE(15,6,DISJUNTORES!$C$2:$C$100/(DISJUNTORES!$C$2:$C$100&gt;=BF59),1),""),20),
   IF(COUNTA(A59:K59)&gt;=1,
      MAX(IFERROR(_xlfn.AGGREGATE(15,6,DISJUNTORES!$C$2:$C$100/(DISJUNTORES!$C$2:$C$100&gt;=BF59),1),""),16),
   IFERROR(_xlfn.AGGREGATE(15,6,DISJUNTORES!$C$2:$C$100/(DISJUNTORES!$C$2:$C$100&gt;=BF59),1),"")))))</f>
        <v/>
      </c>
      <c r="BJ59" s="107"/>
      <c r="BK59" s="107"/>
      <c r="BL59" s="107"/>
      <c r="BM59" s="109" t="str">
        <f t="shared" si="12"/>
        <v/>
      </c>
      <c r="BN59" s="109" t="str">
        <f t="shared" si="13"/>
        <v/>
      </c>
      <c r="BO59" s="109" t="str">
        <f t="shared" si="14"/>
        <v/>
      </c>
      <c r="BP59" s="104" t="str" cm="1">
        <f t="array" ref="BP59">IFERROR(
    INDEX(
        IF(AV59="PVC", 'CAP CONDUÇÃO 70º'!$A:$A, 'CAP CONDUÇÃO 90º'!$A:$A),
        IF(
            COUNTIF(
                IF(AV59="PVC",
                   CHOOSE(
                       MATCH(AU59,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MATCH(AU59,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BI59
            ) &gt; 0,
            MATCH(BI59,
                IF(AV59="PVC",
                   CHOOSE(
                       MATCH(AU59,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MATCH(AU59,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MATCH(BI59,
                IF(AV59="PVC",
                   CHOOSE(
                       MATCH(AU59,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MATCH(AU59,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59" s="166"/>
      <c r="BR59" s="166"/>
      <c r="BS59" s="165" t="str">
        <f ca="1">IFERROR(IF(BP59="","","3F#"&amp;BR59&amp;"mm²+N"&amp;VLOOKUP($BR$5,NEUTRO!$A:$B,2,0)&amp;"mm²+T"&amp;VLOOKUP($BR$5,TERRA!$A:$B,2,0)&amp;"mm²"),"")</f>
        <v/>
      </c>
      <c r="BT59" s="110"/>
      <c r="BU59" s="2"/>
    </row>
    <row r="60" spans="1:73" ht="36.5" hidden="1" thickBot="1" x14ac:dyDescent="0.4">
      <c r="A60" s="106">
        <v>56</v>
      </c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107"/>
      <c r="AN60" s="107"/>
      <c r="AO60" s="107"/>
      <c r="AP60" s="101" t="str">
        <f t="shared" si="9"/>
        <v/>
      </c>
      <c r="AQ60" s="108" t="str">
        <f t="shared" si="0"/>
        <v/>
      </c>
      <c r="AR60" s="109" t="str">
        <f t="shared" si="5"/>
        <v/>
      </c>
      <c r="AS60" s="107"/>
      <c r="AT60" s="170"/>
      <c r="AU60" s="107"/>
      <c r="AV60" s="107"/>
      <c r="AW60" s="107"/>
      <c r="AX60" s="107"/>
      <c r="AY60" s="172" t="s">
        <v>278</v>
      </c>
      <c r="AZ60" s="172" t="s">
        <v>262</v>
      </c>
      <c r="BA60" s="172" t="e">
        <f>INDEX(AGRUPAMENTO!C58:N62,MATCH(AY60,AGRUPAMENTO!B58:B62,0),MATCH(AZ60,AGRUPAMENTO!C57:N57,0))</f>
        <v>#N/A</v>
      </c>
      <c r="BB60" s="174" t="s">
        <v>254</v>
      </c>
      <c r="BC60" s="176">
        <v>30</v>
      </c>
      <c r="BD60" s="172" t="e">
        <f>IF(BB60="SUBTERRÂNEA",IF(AV60="PVC",VLOOKUP(BC60,TEMPERATURA!G57:H71,2,0),VLOOKUP(BC60,TEMPERATURA!G57:I71,3,0)),IF(AV60="PVC",VLOOKUP(BC60,TEMPERATURA!B57:C71,2,0),VLOOKUP(BC60,TEMPERATURA!B57:D71,3,0)))</f>
        <v>#N/A</v>
      </c>
      <c r="BE60" s="102" t="str">
        <f t="shared" si="10"/>
        <v/>
      </c>
      <c r="BF60" s="108" t="str">
        <f t="shared" si="11"/>
        <v/>
      </c>
      <c r="BG60" s="102" t="e">
        <f t="shared" si="7"/>
        <v>#VALUE!</v>
      </c>
      <c r="BH60" s="108" t="str">
        <f t="shared" si="8"/>
        <v/>
      </c>
      <c r="BI60" s="173" t="str">
        <f>IF(AP60="","",
   IF(COUNTA(V60:AE60)&gt;=1,
      MAX(IFERROR(_xlfn.AGGREGATE(15,6,DISJUNTORES!$C$2:$C$100/(DISJUNTORES!$C$2:$C$100&gt;=BF60),1),""),25),
   IF(COUNTA(L60:U60)&gt;=1,
      MAX(IFERROR(_xlfn.AGGREGATE(15,6,DISJUNTORES!$C$2:$C$100/(DISJUNTORES!$C$2:$C$100&gt;=BF60),1),""),20),
   IF(COUNTA(A60:K60)&gt;=1,
      MAX(IFERROR(_xlfn.AGGREGATE(15,6,DISJUNTORES!$C$2:$C$100/(DISJUNTORES!$C$2:$C$100&gt;=BF60),1),""),16),
   IFERROR(_xlfn.AGGREGATE(15,6,DISJUNTORES!$C$2:$C$100/(DISJUNTORES!$C$2:$C$100&gt;=BF60),1),"")))))</f>
        <v/>
      </c>
      <c r="BJ60" s="107"/>
      <c r="BK60" s="107"/>
      <c r="BL60" s="107"/>
      <c r="BM60" s="109" t="str">
        <f t="shared" si="12"/>
        <v/>
      </c>
      <c r="BN60" s="109" t="str">
        <f t="shared" si="13"/>
        <v/>
      </c>
      <c r="BO60" s="109" t="str">
        <f t="shared" si="14"/>
        <v/>
      </c>
      <c r="BP60" s="104" t="str" cm="1">
        <f t="array" ref="BP60">IFERROR(
    INDEX(
        IF(AV60="PVC", 'CAP CONDUÇÃO 70º'!$A:$A, 'CAP CONDUÇÃO 90º'!$A:$A),
        IF(
            COUNTIF(
                IF(AV60="PVC",
                   CHOOSE(
                       MATCH(AU60,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MATCH(AU60,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BI60
            ) &gt; 0,
            MATCH(BI60,
                IF(AV60="PVC",
                   CHOOSE(
                       MATCH(AU60,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MATCH(AU60,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MATCH(BI60,
                IF(AV60="PVC",
                   CHOOSE(
                       MATCH(AU60,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MATCH(AU60,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60" s="166"/>
      <c r="BR60" s="166"/>
      <c r="BS60" s="165" t="str">
        <f ca="1">IFERROR(IF(BP60="","","3F#"&amp;BR60&amp;"mm²+N"&amp;VLOOKUP($BR$5,NEUTRO!$A:$B,2,0)&amp;"mm²+T"&amp;VLOOKUP($BR$5,TERRA!$A:$B,2,0)&amp;"mm²"),"")</f>
        <v/>
      </c>
      <c r="BT60" s="110"/>
      <c r="BU60" s="2"/>
    </row>
    <row r="61" spans="1:73" ht="36.5" hidden="1" thickBot="1" x14ac:dyDescent="0.4">
      <c r="A61" s="106">
        <v>57</v>
      </c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7"/>
      <c r="AJ61" s="107"/>
      <c r="AK61" s="107"/>
      <c r="AL61" s="107"/>
      <c r="AM61" s="107"/>
      <c r="AN61" s="107"/>
      <c r="AO61" s="107"/>
      <c r="AP61" s="101" t="str">
        <f t="shared" si="9"/>
        <v/>
      </c>
      <c r="AQ61" s="108" t="str">
        <f t="shared" si="0"/>
        <v/>
      </c>
      <c r="AR61" s="109" t="str">
        <f t="shared" si="5"/>
        <v/>
      </c>
      <c r="AS61" s="107"/>
      <c r="AT61" s="170"/>
      <c r="AU61" s="107"/>
      <c r="AV61" s="107"/>
      <c r="AW61" s="107"/>
      <c r="AX61" s="107"/>
      <c r="AY61" s="172" t="s">
        <v>278</v>
      </c>
      <c r="AZ61" s="172" t="s">
        <v>262</v>
      </c>
      <c r="BA61" s="172" t="e">
        <f>INDEX(AGRUPAMENTO!C59:N63,MATCH(AY61,AGRUPAMENTO!B59:B63,0),MATCH(AZ61,AGRUPAMENTO!C58:N58,0))</f>
        <v>#N/A</v>
      </c>
      <c r="BB61" s="174" t="s">
        <v>254</v>
      </c>
      <c r="BC61" s="176">
        <v>30</v>
      </c>
      <c r="BD61" s="172" t="e">
        <f>IF(BB61="SUBTERRÂNEA",IF(AV61="PVC",VLOOKUP(BC61,TEMPERATURA!G58:H72,2,0),VLOOKUP(BC61,TEMPERATURA!G58:I72,3,0)),IF(AV61="PVC",VLOOKUP(BC61,TEMPERATURA!B58:C72,2,0),VLOOKUP(BC61,TEMPERATURA!B58:D72,3,0)))</f>
        <v>#N/A</v>
      </c>
      <c r="BE61" s="102" t="str">
        <f t="shared" si="10"/>
        <v/>
      </c>
      <c r="BF61" s="108" t="str">
        <f t="shared" si="11"/>
        <v/>
      </c>
      <c r="BG61" s="102" t="e">
        <f t="shared" si="7"/>
        <v>#VALUE!</v>
      </c>
      <c r="BH61" s="108" t="str">
        <f t="shared" si="8"/>
        <v/>
      </c>
      <c r="BI61" s="173" t="str">
        <f>IF(AP61="","",
   IF(COUNTA(V61:AE61)&gt;=1,
      MAX(IFERROR(_xlfn.AGGREGATE(15,6,DISJUNTORES!$C$2:$C$100/(DISJUNTORES!$C$2:$C$100&gt;=BF61),1),""),25),
   IF(COUNTA(L61:U61)&gt;=1,
      MAX(IFERROR(_xlfn.AGGREGATE(15,6,DISJUNTORES!$C$2:$C$100/(DISJUNTORES!$C$2:$C$100&gt;=BF61),1),""),20),
   IF(COUNTA(A61:K61)&gt;=1,
      MAX(IFERROR(_xlfn.AGGREGATE(15,6,DISJUNTORES!$C$2:$C$100/(DISJUNTORES!$C$2:$C$100&gt;=BF61),1),""),16),
   IFERROR(_xlfn.AGGREGATE(15,6,DISJUNTORES!$C$2:$C$100/(DISJUNTORES!$C$2:$C$100&gt;=BF61),1),"")))))</f>
        <v/>
      </c>
      <c r="BJ61" s="107"/>
      <c r="BK61" s="107"/>
      <c r="BL61" s="107"/>
      <c r="BM61" s="109" t="str">
        <f t="shared" si="12"/>
        <v/>
      </c>
      <c r="BN61" s="109" t="str">
        <f t="shared" si="13"/>
        <v/>
      </c>
      <c r="BO61" s="109" t="str">
        <f t="shared" si="14"/>
        <v/>
      </c>
      <c r="BP61" s="104" t="str" cm="1">
        <f t="array" ref="BP61">IFERROR(
    INDEX(
        IF(AV61="PVC", 'CAP CONDUÇÃO 70º'!$A:$A, 'CAP CONDUÇÃO 90º'!$A:$A),
        IF(
            COUNTIF(
                IF(AV61="PVC",
                   CHOOSE(
                       MATCH(AU61,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MATCH(AU61,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BI61
            ) &gt; 0,
            MATCH(BI61,
                IF(AV61="PVC",
                   CHOOSE(
                       MATCH(AU61,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MATCH(AU61,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MATCH(BI61,
                IF(AV61="PVC",
                   CHOOSE(
                       MATCH(AU61,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MATCH(AU61,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61" s="166"/>
      <c r="BR61" s="166"/>
      <c r="BS61" s="165" t="str">
        <f ca="1">IFERROR(IF(BP61="","","3F#"&amp;BR61&amp;"mm²+N"&amp;VLOOKUP($BR$5,NEUTRO!$A:$B,2,0)&amp;"mm²+T"&amp;VLOOKUP($BR$5,TERRA!$A:$B,2,0)&amp;"mm²"),"")</f>
        <v/>
      </c>
      <c r="BT61" s="110"/>
      <c r="BU61" s="2"/>
    </row>
    <row r="62" spans="1:73" ht="36.5" hidden="1" thickBot="1" x14ac:dyDescent="0.4">
      <c r="A62" s="106">
        <v>58</v>
      </c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7"/>
      <c r="AJ62" s="107"/>
      <c r="AK62" s="107"/>
      <c r="AL62" s="107"/>
      <c r="AM62" s="107"/>
      <c r="AN62" s="107"/>
      <c r="AO62" s="107"/>
      <c r="AP62" s="101" t="str">
        <f t="shared" si="9"/>
        <v/>
      </c>
      <c r="AQ62" s="108" t="str">
        <f t="shared" si="0"/>
        <v/>
      </c>
      <c r="AR62" s="109" t="str">
        <f t="shared" si="5"/>
        <v/>
      </c>
      <c r="AS62" s="107"/>
      <c r="AT62" s="170"/>
      <c r="AU62" s="107"/>
      <c r="AV62" s="107"/>
      <c r="AW62" s="107"/>
      <c r="AX62" s="107"/>
      <c r="AY62" s="172" t="s">
        <v>278</v>
      </c>
      <c r="AZ62" s="172" t="s">
        <v>262</v>
      </c>
      <c r="BA62" s="172" t="e">
        <f>INDEX(AGRUPAMENTO!C60:N64,MATCH(AY62,AGRUPAMENTO!B60:B64,0),MATCH(AZ62,AGRUPAMENTO!C59:N59,0))</f>
        <v>#N/A</v>
      </c>
      <c r="BB62" s="174" t="s">
        <v>254</v>
      </c>
      <c r="BC62" s="176">
        <v>30</v>
      </c>
      <c r="BD62" s="172" t="e">
        <f>IF(BB62="SUBTERRÂNEA",IF(AV62="PVC",VLOOKUP(BC62,TEMPERATURA!G59:H73,2,0),VLOOKUP(BC62,TEMPERATURA!G59:I73,3,0)),IF(AV62="PVC",VLOOKUP(BC62,TEMPERATURA!B59:C73,2,0),VLOOKUP(BC62,TEMPERATURA!B59:D73,3,0)))</f>
        <v>#N/A</v>
      </c>
      <c r="BE62" s="102" t="str">
        <f t="shared" si="10"/>
        <v/>
      </c>
      <c r="BF62" s="108" t="str">
        <f t="shared" si="11"/>
        <v/>
      </c>
      <c r="BG62" s="102" t="e">
        <f t="shared" si="7"/>
        <v>#VALUE!</v>
      </c>
      <c r="BH62" s="108" t="str">
        <f t="shared" si="8"/>
        <v/>
      </c>
      <c r="BI62" s="173" t="str">
        <f>IF(AP62="","",
   IF(COUNTA(V62:AE62)&gt;=1,
      MAX(IFERROR(_xlfn.AGGREGATE(15,6,DISJUNTORES!$C$2:$C$100/(DISJUNTORES!$C$2:$C$100&gt;=BF62),1),""),25),
   IF(COUNTA(L62:U62)&gt;=1,
      MAX(IFERROR(_xlfn.AGGREGATE(15,6,DISJUNTORES!$C$2:$C$100/(DISJUNTORES!$C$2:$C$100&gt;=BF62),1),""),20),
   IF(COUNTA(A62:K62)&gt;=1,
      MAX(IFERROR(_xlfn.AGGREGATE(15,6,DISJUNTORES!$C$2:$C$100/(DISJUNTORES!$C$2:$C$100&gt;=BF62),1),""),16),
   IFERROR(_xlfn.AGGREGATE(15,6,DISJUNTORES!$C$2:$C$100/(DISJUNTORES!$C$2:$C$100&gt;=BF62),1),"")))))</f>
        <v/>
      </c>
      <c r="BJ62" s="107"/>
      <c r="BK62" s="107"/>
      <c r="BL62" s="107"/>
      <c r="BM62" s="109" t="str">
        <f t="shared" si="12"/>
        <v/>
      </c>
      <c r="BN62" s="109" t="str">
        <f t="shared" si="13"/>
        <v/>
      </c>
      <c r="BO62" s="109" t="str">
        <f t="shared" si="14"/>
        <v/>
      </c>
      <c r="BP62" s="104" t="str" cm="1">
        <f t="array" ref="BP62">IFERROR(
    INDEX(
        IF(AV62="PVC", 'CAP CONDUÇÃO 70º'!$A:$A, 'CAP CONDUÇÃO 90º'!$A:$A),
        IF(
            COUNTIF(
                IF(AV62="PVC",
                   CHOOSE(
                       MATCH(AU62,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MATCH(AU62,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BI62
            ) &gt; 0,
            MATCH(BI62,
                IF(AV62="PVC",
                   CHOOSE(
                       MATCH(AU62,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MATCH(AU62,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MATCH(BI62,
                IF(AV62="PVC",
                   CHOOSE(
                       MATCH(AU62,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MATCH(AU62,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62" s="166"/>
      <c r="BR62" s="166"/>
      <c r="BS62" s="165" t="str">
        <f ca="1">IFERROR(IF(BP62="","","3F#"&amp;BR62&amp;"mm²+N"&amp;VLOOKUP($BR$5,NEUTRO!$A:$B,2,0)&amp;"mm²+T"&amp;VLOOKUP($BR$5,TERRA!$A:$B,2,0)&amp;"mm²"),"")</f>
        <v/>
      </c>
      <c r="BT62" s="110"/>
      <c r="BU62" s="2"/>
    </row>
    <row r="63" spans="1:73" ht="36.5" hidden="1" thickBot="1" x14ac:dyDescent="0.4">
      <c r="A63" s="106">
        <v>59</v>
      </c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  <c r="AI63" s="107"/>
      <c r="AJ63" s="107"/>
      <c r="AK63" s="107"/>
      <c r="AL63" s="107"/>
      <c r="AM63" s="107"/>
      <c r="AN63" s="107"/>
      <c r="AO63" s="107"/>
      <c r="AP63" s="101" t="str">
        <f t="shared" si="9"/>
        <v/>
      </c>
      <c r="AQ63" s="108" t="str">
        <f t="shared" si="0"/>
        <v/>
      </c>
      <c r="AR63" s="109" t="str">
        <f t="shared" si="5"/>
        <v/>
      </c>
      <c r="AS63" s="107"/>
      <c r="AT63" s="170"/>
      <c r="AU63" s="107"/>
      <c r="AV63" s="107"/>
      <c r="AW63" s="107"/>
      <c r="AX63" s="107"/>
      <c r="AY63" s="172" t="s">
        <v>278</v>
      </c>
      <c r="AZ63" s="172" t="s">
        <v>262</v>
      </c>
      <c r="BA63" s="172" t="e">
        <f>INDEX(AGRUPAMENTO!C61:N65,MATCH(AY63,AGRUPAMENTO!B61:B65,0),MATCH(AZ63,AGRUPAMENTO!C60:N60,0))</f>
        <v>#N/A</v>
      </c>
      <c r="BB63" s="174" t="s">
        <v>254</v>
      </c>
      <c r="BC63" s="176">
        <v>30</v>
      </c>
      <c r="BD63" s="172" t="e">
        <f>IF(BB63="SUBTERRÂNEA",IF(AV63="PVC",VLOOKUP(BC63,TEMPERATURA!G60:H74,2,0),VLOOKUP(BC63,TEMPERATURA!G60:I74,3,0)),IF(AV63="PVC",VLOOKUP(BC63,TEMPERATURA!B60:C74,2,0),VLOOKUP(BC63,TEMPERATURA!B60:D74,3,0)))</f>
        <v>#N/A</v>
      </c>
      <c r="BE63" s="102" t="str">
        <f t="shared" si="10"/>
        <v/>
      </c>
      <c r="BF63" s="108" t="str">
        <f t="shared" si="11"/>
        <v/>
      </c>
      <c r="BG63" s="102" t="e">
        <f t="shared" si="7"/>
        <v>#VALUE!</v>
      </c>
      <c r="BH63" s="108" t="str">
        <f t="shared" si="8"/>
        <v/>
      </c>
      <c r="BI63" s="173" t="str">
        <f>IF(AP63="","",
   IF(COUNTA(V63:AE63)&gt;=1,
      MAX(IFERROR(_xlfn.AGGREGATE(15,6,DISJUNTORES!$C$2:$C$100/(DISJUNTORES!$C$2:$C$100&gt;=BF63),1),""),25),
   IF(COUNTA(L63:U63)&gt;=1,
      MAX(IFERROR(_xlfn.AGGREGATE(15,6,DISJUNTORES!$C$2:$C$100/(DISJUNTORES!$C$2:$C$100&gt;=BF63),1),""),20),
   IF(COUNTA(A63:K63)&gt;=1,
      MAX(IFERROR(_xlfn.AGGREGATE(15,6,DISJUNTORES!$C$2:$C$100/(DISJUNTORES!$C$2:$C$100&gt;=BF63),1),""),16),
   IFERROR(_xlfn.AGGREGATE(15,6,DISJUNTORES!$C$2:$C$100/(DISJUNTORES!$C$2:$C$100&gt;=BF63),1),"")))))</f>
        <v/>
      </c>
      <c r="BJ63" s="107"/>
      <c r="BK63" s="107"/>
      <c r="BL63" s="107"/>
      <c r="BM63" s="109" t="str">
        <f t="shared" si="12"/>
        <v/>
      </c>
      <c r="BN63" s="109" t="str">
        <f t="shared" si="13"/>
        <v/>
      </c>
      <c r="BO63" s="109" t="str">
        <f t="shared" si="14"/>
        <v/>
      </c>
      <c r="BP63" s="104" t="str" cm="1">
        <f t="array" ref="BP63">IFERROR(
    INDEX(
        IF(AV63="PVC", 'CAP CONDUÇÃO 70º'!$A:$A, 'CAP CONDUÇÃO 90º'!$A:$A),
        IF(
            COUNTIF(
                IF(AV63="PVC",
                   CHOOSE(
                       MATCH(AU63,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MATCH(AU63,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BI63
            ) &gt; 0,
            MATCH(BI63,
                IF(AV63="PVC",
                   CHOOSE(
                       MATCH(AU63,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MATCH(AU63,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MATCH(BI63,
                IF(AV63="PVC",
                   CHOOSE(
                       MATCH(AU63,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MATCH(AU63,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63" s="166"/>
      <c r="BR63" s="166"/>
      <c r="BS63" s="165" t="str">
        <f ca="1">IFERROR(IF(BP63="","","3F#"&amp;BR63&amp;"mm²+N"&amp;VLOOKUP($BR$5,NEUTRO!$A:$B,2,0)&amp;"mm²+T"&amp;VLOOKUP($BR$5,TERRA!$A:$B,2,0)&amp;"mm²"),"")</f>
        <v/>
      </c>
      <c r="BT63" s="110"/>
      <c r="BU63" s="2"/>
    </row>
    <row r="64" spans="1:73" ht="36.5" hidden="1" thickBot="1" x14ac:dyDescent="0.4">
      <c r="A64" s="106">
        <v>60</v>
      </c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7"/>
      <c r="AJ64" s="107"/>
      <c r="AK64" s="107"/>
      <c r="AL64" s="107"/>
      <c r="AM64" s="107"/>
      <c r="AN64" s="107"/>
      <c r="AO64" s="107"/>
      <c r="AP64" s="101" t="str">
        <f t="shared" si="9"/>
        <v/>
      </c>
      <c r="AQ64" s="108" t="str">
        <f t="shared" si="0"/>
        <v/>
      </c>
      <c r="AR64" s="109" t="str">
        <f t="shared" si="5"/>
        <v/>
      </c>
      <c r="AS64" s="107"/>
      <c r="AT64" s="170"/>
      <c r="AU64" s="107"/>
      <c r="AV64" s="107"/>
      <c r="AW64" s="107"/>
      <c r="AX64" s="107"/>
      <c r="AY64" s="172" t="s">
        <v>278</v>
      </c>
      <c r="AZ64" s="172" t="s">
        <v>262</v>
      </c>
      <c r="BA64" s="172" t="e">
        <f>INDEX(AGRUPAMENTO!C62:N66,MATCH(AY64,AGRUPAMENTO!B62:B66,0),MATCH(AZ64,AGRUPAMENTO!C61:N61,0))</f>
        <v>#N/A</v>
      </c>
      <c r="BB64" s="174" t="s">
        <v>254</v>
      </c>
      <c r="BC64" s="176">
        <v>30</v>
      </c>
      <c r="BD64" s="172" t="e">
        <f>IF(BB64="SUBTERRÂNEA",IF(AV64="PVC",VLOOKUP(BC64,TEMPERATURA!G61:H75,2,0),VLOOKUP(BC64,TEMPERATURA!G61:I75,3,0)),IF(AV64="PVC",VLOOKUP(BC64,TEMPERATURA!B61:C75,2,0),VLOOKUP(BC64,TEMPERATURA!B61:D75,3,0)))</f>
        <v>#N/A</v>
      </c>
      <c r="BE64" s="102" t="str">
        <f t="shared" si="10"/>
        <v/>
      </c>
      <c r="BF64" s="108" t="str">
        <f t="shared" si="11"/>
        <v/>
      </c>
      <c r="BG64" s="102" t="e">
        <f t="shared" si="7"/>
        <v>#VALUE!</v>
      </c>
      <c r="BH64" s="108" t="str">
        <f t="shared" si="8"/>
        <v/>
      </c>
      <c r="BI64" s="173" t="str">
        <f>IF(AP64="","",
   IF(COUNTA(V64:AE64)&gt;=1,
      MAX(IFERROR(_xlfn.AGGREGATE(15,6,DISJUNTORES!$C$2:$C$100/(DISJUNTORES!$C$2:$C$100&gt;=BF64),1),""),25),
   IF(COUNTA(L64:U64)&gt;=1,
      MAX(IFERROR(_xlfn.AGGREGATE(15,6,DISJUNTORES!$C$2:$C$100/(DISJUNTORES!$C$2:$C$100&gt;=BF64),1),""),20),
   IF(COUNTA(A64:K64)&gt;=1,
      MAX(IFERROR(_xlfn.AGGREGATE(15,6,DISJUNTORES!$C$2:$C$100/(DISJUNTORES!$C$2:$C$100&gt;=BF64),1),""),16),
   IFERROR(_xlfn.AGGREGATE(15,6,DISJUNTORES!$C$2:$C$100/(DISJUNTORES!$C$2:$C$100&gt;=BF64),1),"")))))</f>
        <v/>
      </c>
      <c r="BJ64" s="107"/>
      <c r="BK64" s="107"/>
      <c r="BL64" s="107"/>
      <c r="BM64" s="109" t="str">
        <f t="shared" si="12"/>
        <v/>
      </c>
      <c r="BN64" s="109" t="str">
        <f t="shared" si="13"/>
        <v/>
      </c>
      <c r="BO64" s="109" t="str">
        <f t="shared" si="14"/>
        <v/>
      </c>
      <c r="BP64" s="104" t="str" cm="1">
        <f t="array" ref="BP64">IFERROR(
    INDEX(
        IF(AV64="PVC", 'CAP CONDUÇÃO 70º'!$A:$A, 'CAP CONDUÇÃO 90º'!$A:$A),
        IF(
            COUNTIF(
                IF(AV64="PVC",
                   CHOOSE(
                       MATCH(AU64,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MATCH(AU64,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BI64
            ) &gt; 0,
            MATCH(BI64,
                IF(AV64="PVC",
                   CHOOSE(
                       MATCH(AU64,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MATCH(AU64,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MATCH(BI64,
                IF(AV64="PVC",
                   CHOOSE(
                       MATCH(AU64,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MATCH(AU64,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64" s="166"/>
      <c r="BR64" s="166"/>
      <c r="BS64" s="165" t="str">
        <f ca="1">IFERROR(IF(BP64="","","3F#"&amp;BR64&amp;"mm²+N"&amp;VLOOKUP($BR$5,NEUTRO!$A:$B,2,0)&amp;"mm²+T"&amp;VLOOKUP($BR$5,TERRA!$A:$B,2,0)&amp;"mm²"),"")</f>
        <v/>
      </c>
      <c r="BT64" s="110"/>
      <c r="BU64" s="2"/>
    </row>
    <row r="65" spans="1:73" ht="36.5" hidden="1" thickBot="1" x14ac:dyDescent="0.4">
      <c r="A65" s="106">
        <v>61</v>
      </c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  <c r="AG65" s="107"/>
      <c r="AH65" s="107"/>
      <c r="AI65" s="107"/>
      <c r="AJ65" s="107"/>
      <c r="AK65" s="107"/>
      <c r="AL65" s="107"/>
      <c r="AM65" s="107"/>
      <c r="AN65" s="107"/>
      <c r="AO65" s="107"/>
      <c r="AP65" s="101" t="str">
        <f t="shared" si="9"/>
        <v/>
      </c>
      <c r="AQ65" s="108" t="str">
        <f t="shared" si="0"/>
        <v/>
      </c>
      <c r="AR65" s="109" t="str">
        <f t="shared" si="5"/>
        <v/>
      </c>
      <c r="AS65" s="107"/>
      <c r="AT65" s="170"/>
      <c r="AU65" s="107"/>
      <c r="AV65" s="107"/>
      <c r="AW65" s="107"/>
      <c r="AX65" s="107"/>
      <c r="AY65" s="172" t="s">
        <v>278</v>
      </c>
      <c r="AZ65" s="172" t="s">
        <v>262</v>
      </c>
      <c r="BA65" s="172" t="e">
        <f>INDEX(AGRUPAMENTO!C63:N67,MATCH(AY65,AGRUPAMENTO!B63:B67,0),MATCH(AZ65,AGRUPAMENTO!C62:N62,0))</f>
        <v>#N/A</v>
      </c>
      <c r="BB65" s="174" t="s">
        <v>254</v>
      </c>
      <c r="BC65" s="176">
        <v>30</v>
      </c>
      <c r="BD65" s="172" t="e">
        <f>IF(BB65="SUBTERRÂNEA",IF(AV65="PVC",VLOOKUP(BC65,TEMPERATURA!G62:H76,2,0),VLOOKUP(BC65,TEMPERATURA!G62:I76,3,0)),IF(AV65="PVC",VLOOKUP(BC65,TEMPERATURA!B62:C76,2,0),VLOOKUP(BC65,TEMPERATURA!B62:D76,3,0)))</f>
        <v>#N/A</v>
      </c>
      <c r="BE65" s="102" t="str">
        <f t="shared" si="10"/>
        <v/>
      </c>
      <c r="BF65" s="108" t="str">
        <f t="shared" si="11"/>
        <v/>
      </c>
      <c r="BG65" s="102" t="e">
        <f t="shared" si="7"/>
        <v>#VALUE!</v>
      </c>
      <c r="BH65" s="108" t="str">
        <f t="shared" si="8"/>
        <v/>
      </c>
      <c r="BI65" s="173" t="str">
        <f>IF(AP65="","",
   IF(COUNTA(V65:AE65)&gt;=1,
      MAX(IFERROR(_xlfn.AGGREGATE(15,6,DISJUNTORES!$C$2:$C$100/(DISJUNTORES!$C$2:$C$100&gt;=BF65),1),""),25),
   IF(COUNTA(L65:U65)&gt;=1,
      MAX(IFERROR(_xlfn.AGGREGATE(15,6,DISJUNTORES!$C$2:$C$100/(DISJUNTORES!$C$2:$C$100&gt;=BF65),1),""),20),
   IF(COUNTA(A65:K65)&gt;=1,
      MAX(IFERROR(_xlfn.AGGREGATE(15,6,DISJUNTORES!$C$2:$C$100/(DISJUNTORES!$C$2:$C$100&gt;=BF65),1),""),16),
   IFERROR(_xlfn.AGGREGATE(15,6,DISJUNTORES!$C$2:$C$100/(DISJUNTORES!$C$2:$C$100&gt;=BF65),1),"")))))</f>
        <v/>
      </c>
      <c r="BJ65" s="107"/>
      <c r="BK65" s="107"/>
      <c r="BL65" s="107"/>
      <c r="BM65" s="109" t="str">
        <f t="shared" si="12"/>
        <v/>
      </c>
      <c r="BN65" s="109" t="str">
        <f t="shared" si="13"/>
        <v/>
      </c>
      <c r="BO65" s="109" t="str">
        <f t="shared" si="14"/>
        <v/>
      </c>
      <c r="BP65" s="104" t="str" cm="1">
        <f t="array" ref="BP65">IFERROR(
    INDEX(
        IF(AV65="PVC", 'CAP CONDUÇÃO 70º'!$A:$A, 'CAP CONDUÇÃO 90º'!$A:$A),
        IF(
            COUNTIF(
                IF(AV65="PVC",
                   CHOOSE(
                       MATCH(AU65,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MATCH(AU65,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BI65
            ) &gt; 0,
            MATCH(BI65,
                IF(AV65="PVC",
                   CHOOSE(
                       MATCH(AU65,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MATCH(AU65,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MATCH(BI65,
                IF(AV65="PVC",
                   CHOOSE(
                       MATCH(AU65,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MATCH(AU65,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65" s="166"/>
      <c r="BR65" s="166"/>
      <c r="BS65" s="165" t="str">
        <f ca="1">IFERROR(IF(BP65="","","3F#"&amp;BR65&amp;"mm²+N"&amp;VLOOKUP($BR$5,NEUTRO!$A:$B,2,0)&amp;"mm²+T"&amp;VLOOKUP($BR$5,TERRA!$A:$B,2,0)&amp;"mm²"),"")</f>
        <v/>
      </c>
      <c r="BT65" s="110"/>
      <c r="BU65" s="2"/>
    </row>
    <row r="66" spans="1:73" ht="36.5" hidden="1" thickBot="1" x14ac:dyDescent="0.4">
      <c r="A66" s="106">
        <v>62</v>
      </c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107"/>
      <c r="AH66" s="107"/>
      <c r="AI66" s="107"/>
      <c r="AJ66" s="107"/>
      <c r="AK66" s="107"/>
      <c r="AL66" s="107"/>
      <c r="AM66" s="107"/>
      <c r="AN66" s="107"/>
      <c r="AO66" s="107"/>
      <c r="AP66" s="101" t="str">
        <f t="shared" si="9"/>
        <v/>
      </c>
      <c r="AQ66" s="108" t="str">
        <f t="shared" si="0"/>
        <v/>
      </c>
      <c r="AR66" s="109" t="str">
        <f t="shared" si="5"/>
        <v/>
      </c>
      <c r="AS66" s="107"/>
      <c r="AT66" s="170"/>
      <c r="AU66" s="107"/>
      <c r="AV66" s="107"/>
      <c r="AW66" s="107"/>
      <c r="AX66" s="107"/>
      <c r="AY66" s="172" t="s">
        <v>278</v>
      </c>
      <c r="AZ66" s="172" t="s">
        <v>262</v>
      </c>
      <c r="BA66" s="172" t="e">
        <f>INDEX(AGRUPAMENTO!C64:N68,MATCH(AY66,AGRUPAMENTO!B64:B68,0),MATCH(AZ66,AGRUPAMENTO!C63:N63,0))</f>
        <v>#N/A</v>
      </c>
      <c r="BB66" s="174" t="s">
        <v>254</v>
      </c>
      <c r="BC66" s="176">
        <v>30</v>
      </c>
      <c r="BD66" s="172" t="e">
        <f>IF(BB66="SUBTERRÂNEA",IF(AV66="PVC",VLOOKUP(BC66,TEMPERATURA!G63:H77,2,0),VLOOKUP(BC66,TEMPERATURA!G63:I77,3,0)),IF(AV66="PVC",VLOOKUP(BC66,TEMPERATURA!B63:C77,2,0),VLOOKUP(BC66,TEMPERATURA!B63:D77,3,0)))</f>
        <v>#N/A</v>
      </c>
      <c r="BE66" s="102" t="str">
        <f t="shared" si="10"/>
        <v/>
      </c>
      <c r="BF66" s="108" t="str">
        <f t="shared" si="11"/>
        <v/>
      </c>
      <c r="BG66" s="102" t="e">
        <f t="shared" si="7"/>
        <v>#VALUE!</v>
      </c>
      <c r="BH66" s="108" t="str">
        <f t="shared" si="8"/>
        <v/>
      </c>
      <c r="BI66" s="173" t="str">
        <f>IF(AP66="","",
   IF(COUNTA(V66:AE66)&gt;=1,
      MAX(IFERROR(_xlfn.AGGREGATE(15,6,DISJUNTORES!$C$2:$C$100/(DISJUNTORES!$C$2:$C$100&gt;=BF66),1),""),25),
   IF(COUNTA(L66:U66)&gt;=1,
      MAX(IFERROR(_xlfn.AGGREGATE(15,6,DISJUNTORES!$C$2:$C$100/(DISJUNTORES!$C$2:$C$100&gt;=BF66),1),""),20),
   IF(COUNTA(A66:K66)&gt;=1,
      MAX(IFERROR(_xlfn.AGGREGATE(15,6,DISJUNTORES!$C$2:$C$100/(DISJUNTORES!$C$2:$C$100&gt;=BF66),1),""),16),
   IFERROR(_xlfn.AGGREGATE(15,6,DISJUNTORES!$C$2:$C$100/(DISJUNTORES!$C$2:$C$100&gt;=BF66),1),"")))))</f>
        <v/>
      </c>
      <c r="BJ66" s="107"/>
      <c r="BK66" s="107"/>
      <c r="BL66" s="107"/>
      <c r="BM66" s="109" t="str">
        <f t="shared" si="12"/>
        <v/>
      </c>
      <c r="BN66" s="109" t="str">
        <f t="shared" si="13"/>
        <v/>
      </c>
      <c r="BO66" s="109" t="str">
        <f t="shared" si="14"/>
        <v/>
      </c>
      <c r="BP66" s="104" t="str" cm="1">
        <f t="array" ref="BP66">IFERROR(
    INDEX(
        IF(AV66="PVC", 'CAP CONDUÇÃO 70º'!$A:$A, 'CAP CONDUÇÃO 90º'!$A:$A),
        IF(
            COUNTIF(
                IF(AV66="PVC",
                   CHOOSE(
                       MATCH(AU66,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MATCH(AU66,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BI66
            ) &gt; 0,
            MATCH(BI66,
                IF(AV66="PVC",
                   CHOOSE(
                       MATCH(AU66,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MATCH(AU66,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MATCH(BI66,
                IF(AV66="PVC",
                   CHOOSE(
                       MATCH(AU66,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MATCH(AU66,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66" s="166"/>
      <c r="BR66" s="166"/>
      <c r="BS66" s="165" t="str">
        <f ca="1">IFERROR(IF(BP66="","","3F#"&amp;BR66&amp;"mm²+N"&amp;VLOOKUP($BR$5,NEUTRO!$A:$B,2,0)&amp;"mm²+T"&amp;VLOOKUP($BR$5,TERRA!$A:$B,2,0)&amp;"mm²"),"")</f>
        <v/>
      </c>
      <c r="BT66" s="110"/>
      <c r="BU66" s="2"/>
    </row>
    <row r="67" spans="1:73" ht="36.5" hidden="1" thickBot="1" x14ac:dyDescent="0.4">
      <c r="A67" s="106">
        <v>63</v>
      </c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107"/>
      <c r="AH67" s="107"/>
      <c r="AI67" s="107"/>
      <c r="AJ67" s="107"/>
      <c r="AK67" s="107"/>
      <c r="AL67" s="107"/>
      <c r="AM67" s="107"/>
      <c r="AN67" s="107"/>
      <c r="AO67" s="107"/>
      <c r="AP67" s="101" t="str">
        <f t="shared" si="9"/>
        <v/>
      </c>
      <c r="AQ67" s="108" t="str">
        <f t="shared" si="0"/>
        <v/>
      </c>
      <c r="AR67" s="109" t="str">
        <f t="shared" si="5"/>
        <v/>
      </c>
      <c r="AS67" s="107"/>
      <c r="AT67" s="170"/>
      <c r="AU67" s="107"/>
      <c r="AV67" s="107"/>
      <c r="AW67" s="107"/>
      <c r="AX67" s="107"/>
      <c r="AY67" s="172" t="s">
        <v>278</v>
      </c>
      <c r="AZ67" s="172" t="s">
        <v>262</v>
      </c>
      <c r="BA67" s="172" t="e">
        <f>INDEX(AGRUPAMENTO!C65:N69,MATCH(AY67,AGRUPAMENTO!B65:B69,0),MATCH(AZ67,AGRUPAMENTO!C64:N64,0))</f>
        <v>#N/A</v>
      </c>
      <c r="BB67" s="174" t="s">
        <v>254</v>
      </c>
      <c r="BC67" s="176">
        <v>30</v>
      </c>
      <c r="BD67" s="172" t="e">
        <f>IF(BB67="SUBTERRÂNEA",IF(AV67="PVC",VLOOKUP(BC67,TEMPERATURA!G64:H78,2,0),VLOOKUP(BC67,TEMPERATURA!G64:I78,3,0)),IF(AV67="PVC",VLOOKUP(BC67,TEMPERATURA!B64:C78,2,0),VLOOKUP(BC67,TEMPERATURA!B64:D78,3,0)))</f>
        <v>#N/A</v>
      </c>
      <c r="BE67" s="102" t="str">
        <f t="shared" si="10"/>
        <v/>
      </c>
      <c r="BF67" s="108" t="str">
        <f t="shared" si="11"/>
        <v/>
      </c>
      <c r="BG67" s="102" t="e">
        <f t="shared" si="7"/>
        <v>#VALUE!</v>
      </c>
      <c r="BH67" s="108" t="str">
        <f t="shared" si="8"/>
        <v/>
      </c>
      <c r="BI67" s="173" t="str">
        <f>IF(AP67="","",
   IF(COUNTA(V67:AE67)&gt;=1,
      MAX(IFERROR(_xlfn.AGGREGATE(15,6,DISJUNTORES!$C$2:$C$100/(DISJUNTORES!$C$2:$C$100&gt;=BF67),1),""),25),
   IF(COUNTA(L67:U67)&gt;=1,
      MAX(IFERROR(_xlfn.AGGREGATE(15,6,DISJUNTORES!$C$2:$C$100/(DISJUNTORES!$C$2:$C$100&gt;=BF67),1),""),20),
   IF(COUNTA(A67:K67)&gt;=1,
      MAX(IFERROR(_xlfn.AGGREGATE(15,6,DISJUNTORES!$C$2:$C$100/(DISJUNTORES!$C$2:$C$100&gt;=BF67),1),""),16),
   IFERROR(_xlfn.AGGREGATE(15,6,DISJUNTORES!$C$2:$C$100/(DISJUNTORES!$C$2:$C$100&gt;=BF67),1),"")))))</f>
        <v/>
      </c>
      <c r="BJ67" s="107"/>
      <c r="BK67" s="107"/>
      <c r="BL67" s="107"/>
      <c r="BM67" s="109" t="str">
        <f t="shared" si="12"/>
        <v/>
      </c>
      <c r="BN67" s="109" t="str">
        <f t="shared" si="13"/>
        <v/>
      </c>
      <c r="BO67" s="109" t="str">
        <f t="shared" si="14"/>
        <v/>
      </c>
      <c r="BP67" s="104" t="str" cm="1">
        <f t="array" ref="BP67">IFERROR(
    INDEX(
        IF(AV67="PVC", 'CAP CONDUÇÃO 70º'!$A:$A, 'CAP CONDUÇÃO 90º'!$A:$A),
        IF(
            COUNTIF(
                IF(AV67="PVC",
                   CHOOSE(
                       MATCH(AU67,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MATCH(AU67,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BI67
            ) &gt; 0,
            MATCH(BI67,
                IF(AV67="PVC",
                   CHOOSE(
                       MATCH(AU67,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MATCH(AU67,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MATCH(BI67,
                IF(AV67="PVC",
                   CHOOSE(
                       MATCH(AU67,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MATCH(AU67,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67" s="166"/>
      <c r="BR67" s="166"/>
      <c r="BS67" s="165" t="str">
        <f ca="1">IFERROR(IF(BP67="","","3F#"&amp;BR67&amp;"mm²+N"&amp;VLOOKUP($BR$5,NEUTRO!$A:$B,2,0)&amp;"mm²+T"&amp;VLOOKUP($BR$5,TERRA!$A:$B,2,0)&amp;"mm²"),"")</f>
        <v/>
      </c>
      <c r="BT67" s="110"/>
      <c r="BU67" s="2"/>
    </row>
    <row r="68" spans="1:73" ht="36.5" hidden="1" thickBot="1" x14ac:dyDescent="0.4">
      <c r="A68" s="106">
        <v>64</v>
      </c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  <c r="AK68" s="107"/>
      <c r="AL68" s="107"/>
      <c r="AM68" s="107"/>
      <c r="AN68" s="107"/>
      <c r="AO68" s="107"/>
      <c r="AP68" s="101" t="str">
        <f t="shared" si="9"/>
        <v/>
      </c>
      <c r="AQ68" s="108" t="str">
        <f t="shared" si="0"/>
        <v/>
      </c>
      <c r="AR68" s="109" t="str">
        <f t="shared" si="5"/>
        <v/>
      </c>
      <c r="AS68" s="107"/>
      <c r="AT68" s="170"/>
      <c r="AU68" s="107"/>
      <c r="AV68" s="107"/>
      <c r="AW68" s="107"/>
      <c r="AX68" s="107"/>
      <c r="AY68" s="172" t="s">
        <v>278</v>
      </c>
      <c r="AZ68" s="172" t="s">
        <v>262</v>
      </c>
      <c r="BA68" s="172" t="e">
        <f>INDEX(AGRUPAMENTO!C66:N70,MATCH(AY68,AGRUPAMENTO!B66:B70,0),MATCH(AZ68,AGRUPAMENTO!C65:N65,0))</f>
        <v>#N/A</v>
      </c>
      <c r="BB68" s="174" t="s">
        <v>254</v>
      </c>
      <c r="BC68" s="176">
        <v>30</v>
      </c>
      <c r="BD68" s="172" t="e">
        <f>IF(BB68="SUBTERRÂNEA",IF(AV68="PVC",VLOOKUP(BC68,TEMPERATURA!G65:H79,2,0),VLOOKUP(BC68,TEMPERATURA!G65:I79,3,0)),IF(AV68="PVC",VLOOKUP(BC68,TEMPERATURA!B65:C79,2,0),VLOOKUP(BC68,TEMPERATURA!B65:D79,3,0)))</f>
        <v>#N/A</v>
      </c>
      <c r="BE68" s="102" t="str">
        <f t="shared" si="10"/>
        <v/>
      </c>
      <c r="BF68" s="108" t="str">
        <f t="shared" si="11"/>
        <v/>
      </c>
      <c r="BG68" s="102" t="e">
        <f t="shared" si="7"/>
        <v>#VALUE!</v>
      </c>
      <c r="BH68" s="108" t="str">
        <f t="shared" si="8"/>
        <v/>
      </c>
      <c r="BI68" s="173" t="str">
        <f>IF(AP68="","",
   IF(COUNTA(V68:AE68)&gt;=1,
      MAX(IFERROR(_xlfn.AGGREGATE(15,6,DISJUNTORES!$C$2:$C$100/(DISJUNTORES!$C$2:$C$100&gt;=BF68),1),""),25),
   IF(COUNTA(L68:U68)&gt;=1,
      MAX(IFERROR(_xlfn.AGGREGATE(15,6,DISJUNTORES!$C$2:$C$100/(DISJUNTORES!$C$2:$C$100&gt;=BF68),1),""),20),
   IF(COUNTA(A68:K68)&gt;=1,
      MAX(IFERROR(_xlfn.AGGREGATE(15,6,DISJUNTORES!$C$2:$C$100/(DISJUNTORES!$C$2:$C$100&gt;=BF68),1),""),16),
   IFERROR(_xlfn.AGGREGATE(15,6,DISJUNTORES!$C$2:$C$100/(DISJUNTORES!$C$2:$C$100&gt;=BF68),1),"")))))</f>
        <v/>
      </c>
      <c r="BJ68" s="107"/>
      <c r="BK68" s="107"/>
      <c r="BL68" s="107"/>
      <c r="BM68" s="109" t="str">
        <f t="shared" si="12"/>
        <v/>
      </c>
      <c r="BN68" s="109" t="str">
        <f t="shared" si="13"/>
        <v/>
      </c>
      <c r="BO68" s="109" t="str">
        <f t="shared" si="14"/>
        <v/>
      </c>
      <c r="BP68" s="104" t="str" cm="1">
        <f t="array" ref="BP68">IFERROR(
    INDEX(
        IF(AV68="PVC", 'CAP CONDUÇÃO 70º'!$A:$A, 'CAP CONDUÇÃO 90º'!$A:$A),
        IF(
            COUNTIF(
                IF(AV68="PVC",
                   CHOOSE(
                       MATCH(AU68,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MATCH(AU68,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BI68
            ) &gt; 0,
            MATCH(BI68,
                IF(AV68="PVC",
                   CHOOSE(
                       MATCH(AU68,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MATCH(AU68,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MATCH(BI68,
                IF(AV68="PVC",
                   CHOOSE(
                       MATCH(AU68,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MATCH(AU68,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68" s="166"/>
      <c r="BR68" s="166"/>
      <c r="BS68" s="165" t="str">
        <f ca="1">IFERROR(IF(BP68="","","3F#"&amp;BR68&amp;"mm²+N"&amp;VLOOKUP($BR$5,NEUTRO!$A:$B,2,0)&amp;"mm²+T"&amp;VLOOKUP($BR$5,TERRA!$A:$B,2,0)&amp;"mm²"),"")</f>
        <v/>
      </c>
      <c r="BT68" s="110"/>
      <c r="BU68" s="2"/>
    </row>
    <row r="69" spans="1:73" ht="36.5" hidden="1" thickBot="1" x14ac:dyDescent="0.4">
      <c r="A69" s="106">
        <v>65</v>
      </c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  <c r="AH69" s="107"/>
      <c r="AI69" s="107"/>
      <c r="AJ69" s="107"/>
      <c r="AK69" s="107"/>
      <c r="AL69" s="107"/>
      <c r="AM69" s="107"/>
      <c r="AN69" s="107"/>
      <c r="AO69" s="107"/>
      <c r="AP69" s="101" t="str">
        <f t="shared" si="9"/>
        <v/>
      </c>
      <c r="AQ69" s="108" t="str">
        <f t="shared" ref="AQ69:AQ104" si="15">IF(AP69="","",IF((SUM(B69:K69)+SUM(AF69:AO69))&gt;=1,1,0.92))</f>
        <v/>
      </c>
      <c r="AR69" s="109" t="str">
        <f t="shared" si="5"/>
        <v/>
      </c>
      <c r="AS69" s="107"/>
      <c r="AT69" s="170"/>
      <c r="AU69" s="107"/>
      <c r="AV69" s="107"/>
      <c r="AW69" s="107"/>
      <c r="AX69" s="107"/>
      <c r="AY69" s="172" t="s">
        <v>278</v>
      </c>
      <c r="AZ69" s="172" t="s">
        <v>262</v>
      </c>
      <c r="BA69" s="172" t="e">
        <f>INDEX(AGRUPAMENTO!C67:N71,MATCH(AY69,AGRUPAMENTO!B67:B71,0),MATCH(AZ69,AGRUPAMENTO!C66:N66,0))</f>
        <v>#N/A</v>
      </c>
      <c r="BB69" s="174" t="s">
        <v>254</v>
      </c>
      <c r="BC69" s="176">
        <v>30</v>
      </c>
      <c r="BD69" s="172" t="e">
        <f>IF(BB69="SUBTERRÂNEA",IF(AV69="PVC",VLOOKUP(BC69,TEMPERATURA!G66:H80,2,0),VLOOKUP(BC69,TEMPERATURA!G66:I80,3,0)),IF(AV69="PVC",VLOOKUP(BC69,TEMPERATURA!B66:C80,2,0),VLOOKUP(BC69,TEMPERATURA!B66:D80,3,0)))</f>
        <v>#N/A</v>
      </c>
      <c r="BE69" s="102" t="str">
        <f t="shared" ref="BE69:BE105" si="16">IF(
   AP69="",
   "",
   _xlfn.IFS(
      $BI$111="127/220",
      IF(
         BH69=1,
         127,
         IF(
            BH69=2,
            ROUND(127*SQRT(3),0),
            IF(
               BH69=3,
               ROUND(127*SQRT(3),0),
               ""
            )
         )
      ),
      $BI$111="220/380",
      IF(
         BH69=1,
         220,
         IF(
            BH69=2,
            ROUND(220*SQRT(3),0)-1,
            IF(
               BH69=3,
               ROUND(220*SQRT(3),0)-1,
               ""
            )
         )
      ),
      $BI$111="254/440",
      IF(
         BH69=1,
         254,
         IF(
            BH69=2,
            ROUND(254*SQRT(3),0),
            IF(
               BH69=3,
               ROUND(254*SQRT(3),0),
               ""
            )
         )
      )
   )
)</f>
        <v/>
      </c>
      <c r="BF69" s="108" t="str">
        <f t="shared" ref="BF69:BF104" si="17">IF(AP69="","",ROUND(AR69/IF(BH69=1,127,IF(BH69=2,220,IF(BH69=3,381,""))),1))</f>
        <v/>
      </c>
      <c r="BG69" s="102" t="e">
        <f t="shared" si="7"/>
        <v>#VALUE!</v>
      </c>
      <c r="BH69" s="108" t="str">
        <f t="shared" si="8"/>
        <v/>
      </c>
      <c r="BI69" s="173" t="str">
        <f>IF(AP69="","",
   IF(COUNTA(V69:AE69)&gt;=1,
      MAX(IFERROR(_xlfn.AGGREGATE(15,6,DISJUNTORES!$C$2:$C$100/(DISJUNTORES!$C$2:$C$100&gt;=BF69),1),""),25),
   IF(COUNTA(L69:U69)&gt;=1,
      MAX(IFERROR(_xlfn.AGGREGATE(15,6,DISJUNTORES!$C$2:$C$100/(DISJUNTORES!$C$2:$C$100&gt;=BF69),1),""),20),
   IF(COUNTA(A69:K69)&gt;=1,
      MAX(IFERROR(_xlfn.AGGREGATE(15,6,DISJUNTORES!$C$2:$C$100/(DISJUNTORES!$C$2:$C$100&gt;=BF69),1),""),16),
   IFERROR(_xlfn.AGGREGATE(15,6,DISJUNTORES!$C$2:$C$100/(DISJUNTORES!$C$2:$C$100&gt;=BF69),1),"")))))</f>
        <v/>
      </c>
      <c r="BJ69" s="107"/>
      <c r="BK69" s="107"/>
      <c r="BL69" s="107"/>
      <c r="BM69" s="109" t="str">
        <f t="shared" ref="BM69:BM100" si="18">IF(IF(BJ69="","",AR69/COUNTA(BJ69:BL69))=0,"",IF(BJ69="","",AR69/COUNTA(BJ69:BL69)))</f>
        <v/>
      </c>
      <c r="BN69" s="109" t="str">
        <f t="shared" ref="BN69:BN104" si="19">IF(IF(BK69="","",AR69/COUNTA(BJ69:BL69))=0,"",IF(BK69="","",AR69/COUNTA(BJ69:BL69)))</f>
        <v/>
      </c>
      <c r="BO69" s="109" t="str">
        <f t="shared" ref="BO69:BO104" si="20">IF(IF(BL69="","",AR69/COUNTA(BJ69:BL69))=0,"",IF(BL69="","",AR69/COUNTA(BJ69:BL69)))</f>
        <v/>
      </c>
      <c r="BP69" s="104" t="str" cm="1">
        <f t="array" ref="BP69">IFERROR(
    INDEX(
        IF(AV69="PVC", 'CAP CONDUÇÃO 70º'!$A:$A, 'CAP CONDUÇÃO 90º'!$A:$A),
        IF(
            COUNTIF(
                IF(AV69="PVC",
                   CHOOSE(
                       MATCH(AU69,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MATCH(AU69,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BI69
            ) &gt; 0,
            MATCH(BI69,
                IF(AV69="PVC",
                   CHOOSE(
                       MATCH(AU69,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MATCH(AU69,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MATCH(BI69,
                IF(AV69="PVC",
                   CHOOSE(
                       MATCH(AU69,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MATCH(AU69,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69" s="166"/>
      <c r="BR69" s="166"/>
      <c r="BS69" s="165" t="str">
        <f ca="1">IFERROR(IF(BP69="","","3F#"&amp;BR69&amp;"mm²+N"&amp;VLOOKUP($BR$5,NEUTRO!$A:$B,2,0)&amp;"mm²+T"&amp;VLOOKUP($BR$5,TERRA!$A:$B,2,0)&amp;"mm²"),"")</f>
        <v/>
      </c>
      <c r="BT69" s="110"/>
      <c r="BU69" s="2"/>
    </row>
    <row r="70" spans="1:73" ht="36.5" hidden="1" thickBot="1" x14ac:dyDescent="0.4">
      <c r="A70" s="106">
        <v>66</v>
      </c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07"/>
      <c r="AF70" s="107"/>
      <c r="AG70" s="107"/>
      <c r="AH70" s="107"/>
      <c r="AI70" s="107"/>
      <c r="AJ70" s="107"/>
      <c r="AK70" s="107"/>
      <c r="AL70" s="107"/>
      <c r="AM70" s="107"/>
      <c r="AN70" s="107"/>
      <c r="AO70" s="107"/>
      <c r="AP70" s="101" t="str">
        <f t="shared" ref="AP70:AP101" si="21">IF(SUMPRODUCT(B70:AO70, B$4:AO$4)=0, "", SUMPRODUCT(B70:AO70, B$4:AO$4))</f>
        <v/>
      </c>
      <c r="AQ70" s="108" t="str">
        <f t="shared" si="15"/>
        <v/>
      </c>
      <c r="AR70" s="109" t="str">
        <f t="shared" ref="AR70:AR104" si="22">IF(AP70="","",ROUND((AP70/AQ70),0))</f>
        <v/>
      </c>
      <c r="AS70" s="107"/>
      <c r="AT70" s="170"/>
      <c r="AU70" s="107"/>
      <c r="AV70" s="107"/>
      <c r="AW70" s="107"/>
      <c r="AX70" s="107"/>
      <c r="AY70" s="172" t="s">
        <v>278</v>
      </c>
      <c r="AZ70" s="172" t="s">
        <v>262</v>
      </c>
      <c r="BA70" s="172" t="e">
        <f>INDEX(AGRUPAMENTO!C68:N72,MATCH(AY70,AGRUPAMENTO!B68:B72,0),MATCH(AZ70,AGRUPAMENTO!C67:N67,0))</f>
        <v>#N/A</v>
      </c>
      <c r="BB70" s="174" t="s">
        <v>254</v>
      </c>
      <c r="BC70" s="176">
        <v>30</v>
      </c>
      <c r="BD70" s="172" t="e">
        <f>IF(BB70="SUBTERRÂNEA",IF(AV70="PVC",VLOOKUP(BC70,TEMPERATURA!G67:H81,2,0),VLOOKUP(BC70,TEMPERATURA!G67:I81,3,0)),IF(AV70="PVC",VLOOKUP(BC70,TEMPERATURA!B67:C81,2,0),VLOOKUP(BC70,TEMPERATURA!B67:D81,3,0)))</f>
        <v>#N/A</v>
      </c>
      <c r="BE70" s="102" t="str">
        <f t="shared" si="16"/>
        <v/>
      </c>
      <c r="BF70" s="108" t="str">
        <f t="shared" si="17"/>
        <v/>
      </c>
      <c r="BG70" s="102" t="e">
        <f t="shared" ref="BG70:BG105" si="23">(BF70*AX70)/(BD70*BA70)</f>
        <v>#VALUE!</v>
      </c>
      <c r="BH70" s="108" t="str">
        <f t="shared" ref="BH70:BH104" si="24">IF(COUNTA(BJ70:BL70)=0,"",COUNTA(BJ70:BL70))</f>
        <v/>
      </c>
      <c r="BI70" s="173" t="str">
        <f>IF(AP70="","",
   IF(COUNTA(V70:AE70)&gt;=1,
      MAX(IFERROR(_xlfn.AGGREGATE(15,6,DISJUNTORES!$C$2:$C$100/(DISJUNTORES!$C$2:$C$100&gt;=BF70),1),""),25),
   IF(COUNTA(L70:U70)&gt;=1,
      MAX(IFERROR(_xlfn.AGGREGATE(15,6,DISJUNTORES!$C$2:$C$100/(DISJUNTORES!$C$2:$C$100&gt;=BF70),1),""),20),
   IF(COUNTA(A70:K70)&gt;=1,
      MAX(IFERROR(_xlfn.AGGREGATE(15,6,DISJUNTORES!$C$2:$C$100/(DISJUNTORES!$C$2:$C$100&gt;=BF70),1),""),16),
   IFERROR(_xlfn.AGGREGATE(15,6,DISJUNTORES!$C$2:$C$100/(DISJUNTORES!$C$2:$C$100&gt;=BF70),1),"")))))</f>
        <v/>
      </c>
      <c r="BJ70" s="107"/>
      <c r="BK70" s="107"/>
      <c r="BL70" s="107"/>
      <c r="BM70" s="109" t="str">
        <f t="shared" si="18"/>
        <v/>
      </c>
      <c r="BN70" s="109" t="str">
        <f t="shared" si="19"/>
        <v/>
      </c>
      <c r="BO70" s="109" t="str">
        <f t="shared" si="20"/>
        <v/>
      </c>
      <c r="BP70" s="104" t="str" cm="1">
        <f t="array" ref="BP70">IFERROR(
    INDEX(
        IF(AV70="PVC", 'CAP CONDUÇÃO 70º'!$A:$A, 'CAP CONDUÇÃO 90º'!$A:$A),
        IF(
            COUNTIF(
                IF(AV70="PVC",
                   CHOOSE(
                       MATCH(AU70,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MATCH(AU70,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BI70
            ) &gt; 0,
            MATCH(BI70,
                IF(AV70="PVC",
                   CHOOSE(
                       MATCH(AU70,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MATCH(AU70,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MATCH(BI70,
                IF(AV70="PVC",
                   CHOOSE(
                       MATCH(AU70,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MATCH(AU70,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70" s="166"/>
      <c r="BR70" s="166"/>
      <c r="BS70" s="165" t="str">
        <f ca="1">IFERROR(IF(BP70="","","3F#"&amp;BR70&amp;"mm²+N"&amp;VLOOKUP($BR$5,NEUTRO!$A:$B,2,0)&amp;"mm²+T"&amp;VLOOKUP($BR$5,TERRA!$A:$B,2,0)&amp;"mm²"),"")</f>
        <v/>
      </c>
      <c r="BT70" s="110"/>
      <c r="BU70" s="2"/>
    </row>
    <row r="71" spans="1:73" ht="36.5" hidden="1" thickBot="1" x14ac:dyDescent="0.4">
      <c r="A71" s="106">
        <v>67</v>
      </c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  <c r="AF71" s="107"/>
      <c r="AG71" s="107"/>
      <c r="AH71" s="107"/>
      <c r="AI71" s="107"/>
      <c r="AJ71" s="107"/>
      <c r="AK71" s="107"/>
      <c r="AL71" s="107"/>
      <c r="AM71" s="107"/>
      <c r="AN71" s="107"/>
      <c r="AO71" s="107"/>
      <c r="AP71" s="101" t="str">
        <f t="shared" si="21"/>
        <v/>
      </c>
      <c r="AQ71" s="108" t="str">
        <f t="shared" si="15"/>
        <v/>
      </c>
      <c r="AR71" s="109" t="str">
        <f t="shared" si="22"/>
        <v/>
      </c>
      <c r="AS71" s="107"/>
      <c r="AT71" s="170"/>
      <c r="AU71" s="107"/>
      <c r="AV71" s="107"/>
      <c r="AW71" s="107"/>
      <c r="AX71" s="107"/>
      <c r="AY71" s="172" t="s">
        <v>278</v>
      </c>
      <c r="AZ71" s="172" t="s">
        <v>262</v>
      </c>
      <c r="BA71" s="172" t="e">
        <f>INDEX(AGRUPAMENTO!C69:N73,MATCH(AY71,AGRUPAMENTO!B69:B73,0),MATCH(AZ71,AGRUPAMENTO!C68:N68,0))</f>
        <v>#N/A</v>
      </c>
      <c r="BB71" s="174" t="s">
        <v>254</v>
      </c>
      <c r="BC71" s="176">
        <v>30</v>
      </c>
      <c r="BD71" s="172" t="e">
        <f>IF(BB71="SUBTERRÂNEA",IF(AV71="PVC",VLOOKUP(BC71,TEMPERATURA!G68:H82,2,0),VLOOKUP(BC71,TEMPERATURA!G68:I82,3,0)),IF(AV71="PVC",VLOOKUP(BC71,TEMPERATURA!B68:C82,2,0),VLOOKUP(BC71,TEMPERATURA!B68:D82,3,0)))</f>
        <v>#N/A</v>
      </c>
      <c r="BE71" s="102" t="str">
        <f t="shared" si="16"/>
        <v/>
      </c>
      <c r="BF71" s="108" t="str">
        <f t="shared" si="17"/>
        <v/>
      </c>
      <c r="BG71" s="102" t="e">
        <f t="shared" si="23"/>
        <v>#VALUE!</v>
      </c>
      <c r="BH71" s="108" t="str">
        <f t="shared" si="24"/>
        <v/>
      </c>
      <c r="BI71" s="173" t="str">
        <f>IF(AP71="","",
   IF(COUNTA(V71:AE71)&gt;=1,
      MAX(IFERROR(_xlfn.AGGREGATE(15,6,DISJUNTORES!$C$2:$C$100/(DISJUNTORES!$C$2:$C$100&gt;=BF71),1),""),25),
   IF(COUNTA(L71:U71)&gt;=1,
      MAX(IFERROR(_xlfn.AGGREGATE(15,6,DISJUNTORES!$C$2:$C$100/(DISJUNTORES!$C$2:$C$100&gt;=BF71),1),""),20),
   IF(COUNTA(A71:K71)&gt;=1,
      MAX(IFERROR(_xlfn.AGGREGATE(15,6,DISJUNTORES!$C$2:$C$100/(DISJUNTORES!$C$2:$C$100&gt;=BF71),1),""),16),
   IFERROR(_xlfn.AGGREGATE(15,6,DISJUNTORES!$C$2:$C$100/(DISJUNTORES!$C$2:$C$100&gt;=BF71),1),"")))))</f>
        <v/>
      </c>
      <c r="BJ71" s="107"/>
      <c r="BK71" s="107"/>
      <c r="BL71" s="107"/>
      <c r="BM71" s="109" t="str">
        <f t="shared" si="18"/>
        <v/>
      </c>
      <c r="BN71" s="109" t="str">
        <f t="shared" si="19"/>
        <v/>
      </c>
      <c r="BO71" s="109" t="str">
        <f t="shared" si="20"/>
        <v/>
      </c>
      <c r="BP71" s="104" t="str" cm="1">
        <f t="array" ref="BP71">IFERROR(
    INDEX(
        IF(AV71="PVC", 'CAP CONDUÇÃO 70º'!$A:$A, 'CAP CONDUÇÃO 90º'!$A:$A),
        IF(
            COUNTIF(
                IF(AV71="PVC",
                   CHOOSE(
                       MATCH(AU71,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MATCH(AU71,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BI71
            ) &gt; 0,
            MATCH(BI71,
                IF(AV71="PVC",
                   CHOOSE(
                       MATCH(AU71,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MATCH(AU71,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MATCH(BI71,
                IF(AV71="PVC",
                   CHOOSE(
                       MATCH(AU71,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MATCH(AU71,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71" s="166"/>
      <c r="BR71" s="166"/>
      <c r="BS71" s="165" t="str">
        <f ca="1">IFERROR(IF(BP71="","","3F#"&amp;BR71&amp;"mm²+N"&amp;VLOOKUP($BR$5,NEUTRO!$A:$B,2,0)&amp;"mm²+T"&amp;VLOOKUP($BR$5,TERRA!$A:$B,2,0)&amp;"mm²"),"")</f>
        <v/>
      </c>
      <c r="BT71" s="110"/>
      <c r="BU71" s="2"/>
    </row>
    <row r="72" spans="1:73" ht="36.5" hidden="1" thickBot="1" x14ac:dyDescent="0.4">
      <c r="A72" s="106">
        <v>68</v>
      </c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  <c r="AD72" s="107"/>
      <c r="AE72" s="107"/>
      <c r="AF72" s="107"/>
      <c r="AG72" s="107"/>
      <c r="AH72" s="107"/>
      <c r="AI72" s="107"/>
      <c r="AJ72" s="107"/>
      <c r="AK72" s="107"/>
      <c r="AL72" s="107"/>
      <c r="AM72" s="107"/>
      <c r="AN72" s="107"/>
      <c r="AO72" s="107"/>
      <c r="AP72" s="101" t="str">
        <f t="shared" si="21"/>
        <v/>
      </c>
      <c r="AQ72" s="108" t="str">
        <f t="shared" si="15"/>
        <v/>
      </c>
      <c r="AR72" s="109" t="str">
        <f t="shared" si="22"/>
        <v/>
      </c>
      <c r="AS72" s="107"/>
      <c r="AT72" s="170"/>
      <c r="AU72" s="107"/>
      <c r="AV72" s="107"/>
      <c r="AW72" s="107"/>
      <c r="AX72" s="107"/>
      <c r="AY72" s="172" t="s">
        <v>278</v>
      </c>
      <c r="AZ72" s="172" t="s">
        <v>262</v>
      </c>
      <c r="BA72" s="172" t="e">
        <f>INDEX(AGRUPAMENTO!C70:N74,MATCH(AY72,AGRUPAMENTO!B70:B74,0),MATCH(AZ72,AGRUPAMENTO!C69:N69,0))</f>
        <v>#N/A</v>
      </c>
      <c r="BB72" s="174" t="s">
        <v>254</v>
      </c>
      <c r="BC72" s="176">
        <v>30</v>
      </c>
      <c r="BD72" s="172" t="e">
        <f>IF(BB72="SUBTERRÂNEA",IF(AV72="PVC",VLOOKUP(BC72,TEMPERATURA!G69:H83,2,0),VLOOKUP(BC72,TEMPERATURA!G69:I83,3,0)),IF(AV72="PVC",VLOOKUP(BC72,TEMPERATURA!B69:C83,2,0),VLOOKUP(BC72,TEMPERATURA!B69:D83,3,0)))</f>
        <v>#N/A</v>
      </c>
      <c r="BE72" s="102" t="str">
        <f t="shared" si="16"/>
        <v/>
      </c>
      <c r="BF72" s="108" t="str">
        <f t="shared" si="17"/>
        <v/>
      </c>
      <c r="BG72" s="102" t="e">
        <f t="shared" si="23"/>
        <v>#VALUE!</v>
      </c>
      <c r="BH72" s="108" t="str">
        <f t="shared" si="24"/>
        <v/>
      </c>
      <c r="BI72" s="173" t="str">
        <f>IF(AP72="","",
   IF(COUNTA(V72:AE72)&gt;=1,
      MAX(IFERROR(_xlfn.AGGREGATE(15,6,DISJUNTORES!$C$2:$C$100/(DISJUNTORES!$C$2:$C$100&gt;=BF72),1),""),25),
   IF(COUNTA(L72:U72)&gt;=1,
      MAX(IFERROR(_xlfn.AGGREGATE(15,6,DISJUNTORES!$C$2:$C$100/(DISJUNTORES!$C$2:$C$100&gt;=BF72),1),""),20),
   IF(COUNTA(A72:K72)&gt;=1,
      MAX(IFERROR(_xlfn.AGGREGATE(15,6,DISJUNTORES!$C$2:$C$100/(DISJUNTORES!$C$2:$C$100&gt;=BF72),1),""),16),
   IFERROR(_xlfn.AGGREGATE(15,6,DISJUNTORES!$C$2:$C$100/(DISJUNTORES!$C$2:$C$100&gt;=BF72),1),"")))))</f>
        <v/>
      </c>
      <c r="BJ72" s="107"/>
      <c r="BK72" s="107"/>
      <c r="BL72" s="107"/>
      <c r="BM72" s="109" t="str">
        <f t="shared" si="18"/>
        <v/>
      </c>
      <c r="BN72" s="109" t="str">
        <f t="shared" si="19"/>
        <v/>
      </c>
      <c r="BO72" s="109" t="str">
        <f t="shared" si="20"/>
        <v/>
      </c>
      <c r="BP72" s="104" t="str" cm="1">
        <f t="array" ref="BP72">IFERROR(
    INDEX(
        IF(AV72="PVC", 'CAP CONDUÇÃO 70º'!$A:$A, 'CAP CONDUÇÃO 90º'!$A:$A),
        IF(
            COUNTIF(
                IF(AV72="PVC",
                   CHOOSE(
                       MATCH(AU72,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MATCH(AU72,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BI72
            ) &gt; 0,
            MATCH(BI72,
                IF(AV72="PVC",
                   CHOOSE(
                       MATCH(AU72,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MATCH(AU72,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MATCH(BI72,
                IF(AV72="PVC",
                   CHOOSE(
                       MATCH(AU72,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MATCH(AU72,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72" s="166"/>
      <c r="BR72" s="166"/>
      <c r="BS72" s="165" t="str">
        <f ca="1">IFERROR(IF(BP72="","","3F#"&amp;BR72&amp;"mm²+N"&amp;VLOOKUP($BR$5,NEUTRO!$A:$B,2,0)&amp;"mm²+T"&amp;VLOOKUP($BR$5,TERRA!$A:$B,2,0)&amp;"mm²"),"")</f>
        <v/>
      </c>
      <c r="BT72" s="110"/>
      <c r="BU72" s="2"/>
    </row>
    <row r="73" spans="1:73" ht="36.5" hidden="1" thickBot="1" x14ac:dyDescent="0.4">
      <c r="A73" s="106">
        <v>69</v>
      </c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  <c r="AI73" s="107"/>
      <c r="AJ73" s="107"/>
      <c r="AK73" s="107"/>
      <c r="AL73" s="107"/>
      <c r="AM73" s="107"/>
      <c r="AN73" s="107"/>
      <c r="AO73" s="107"/>
      <c r="AP73" s="101" t="str">
        <f t="shared" si="21"/>
        <v/>
      </c>
      <c r="AQ73" s="108" t="str">
        <f t="shared" si="15"/>
        <v/>
      </c>
      <c r="AR73" s="109" t="str">
        <f t="shared" si="22"/>
        <v/>
      </c>
      <c r="AS73" s="107"/>
      <c r="AT73" s="170"/>
      <c r="AU73" s="107"/>
      <c r="AV73" s="107"/>
      <c r="AW73" s="107"/>
      <c r="AX73" s="107"/>
      <c r="AY73" s="172" t="s">
        <v>278</v>
      </c>
      <c r="AZ73" s="172" t="s">
        <v>262</v>
      </c>
      <c r="BA73" s="172" t="e">
        <f>INDEX(AGRUPAMENTO!C71:N75,MATCH(AY73,AGRUPAMENTO!B71:B75,0),MATCH(AZ73,AGRUPAMENTO!C70:N70,0))</f>
        <v>#N/A</v>
      </c>
      <c r="BB73" s="174" t="s">
        <v>254</v>
      </c>
      <c r="BC73" s="176">
        <v>30</v>
      </c>
      <c r="BD73" s="172" t="e">
        <f>IF(BB73="SUBTERRÂNEA",IF(AV73="PVC",VLOOKUP(BC73,TEMPERATURA!G70:H84,2,0),VLOOKUP(BC73,TEMPERATURA!G70:I84,3,0)),IF(AV73="PVC",VLOOKUP(BC73,TEMPERATURA!B70:C84,2,0),VLOOKUP(BC73,TEMPERATURA!B70:D84,3,0)))</f>
        <v>#N/A</v>
      </c>
      <c r="BE73" s="102" t="str">
        <f t="shared" si="16"/>
        <v/>
      </c>
      <c r="BF73" s="108" t="str">
        <f t="shared" si="17"/>
        <v/>
      </c>
      <c r="BG73" s="102" t="e">
        <f t="shared" si="23"/>
        <v>#VALUE!</v>
      </c>
      <c r="BH73" s="108" t="str">
        <f t="shared" si="24"/>
        <v/>
      </c>
      <c r="BI73" s="173" t="str">
        <f>IF(AP73="","",
   IF(COUNTA(V73:AE73)&gt;=1,
      MAX(IFERROR(_xlfn.AGGREGATE(15,6,DISJUNTORES!$C$2:$C$100/(DISJUNTORES!$C$2:$C$100&gt;=BF73),1),""),25),
   IF(COUNTA(L73:U73)&gt;=1,
      MAX(IFERROR(_xlfn.AGGREGATE(15,6,DISJUNTORES!$C$2:$C$100/(DISJUNTORES!$C$2:$C$100&gt;=BF73),1),""),20),
   IF(COUNTA(A73:K73)&gt;=1,
      MAX(IFERROR(_xlfn.AGGREGATE(15,6,DISJUNTORES!$C$2:$C$100/(DISJUNTORES!$C$2:$C$100&gt;=BF73),1),""),16),
   IFERROR(_xlfn.AGGREGATE(15,6,DISJUNTORES!$C$2:$C$100/(DISJUNTORES!$C$2:$C$100&gt;=BF73),1),"")))))</f>
        <v/>
      </c>
      <c r="BJ73" s="107"/>
      <c r="BK73" s="107"/>
      <c r="BL73" s="107"/>
      <c r="BM73" s="109" t="str">
        <f t="shared" si="18"/>
        <v/>
      </c>
      <c r="BN73" s="109" t="str">
        <f t="shared" si="19"/>
        <v/>
      </c>
      <c r="BO73" s="109" t="str">
        <f t="shared" si="20"/>
        <v/>
      </c>
      <c r="BP73" s="104" t="str" cm="1">
        <f t="array" ref="BP73">IFERROR(
    INDEX(
        IF(AV73="PVC", 'CAP CONDUÇÃO 70º'!$A:$A, 'CAP CONDUÇÃO 90º'!$A:$A),
        IF(
            COUNTIF(
                IF(AV73="PVC",
                   CHOOSE(
                       MATCH(AU73,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MATCH(AU73,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BI73
            ) &gt; 0,
            MATCH(BI73,
                IF(AV73="PVC",
                   CHOOSE(
                       MATCH(AU73,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MATCH(AU73,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MATCH(BI73,
                IF(AV73="PVC",
                   CHOOSE(
                       MATCH(AU73,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MATCH(AU73,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73" s="166"/>
      <c r="BR73" s="166"/>
      <c r="BS73" s="165" t="str">
        <f ca="1">IFERROR(IF(BP73="","","3F#"&amp;BR73&amp;"mm²+N"&amp;VLOOKUP($BR$5,NEUTRO!$A:$B,2,0)&amp;"mm²+T"&amp;VLOOKUP($BR$5,TERRA!$A:$B,2,0)&amp;"mm²"),"")</f>
        <v/>
      </c>
      <c r="BT73" s="110"/>
      <c r="BU73" s="2"/>
    </row>
    <row r="74" spans="1:73" ht="36.5" hidden="1" thickBot="1" x14ac:dyDescent="0.4">
      <c r="A74" s="106">
        <v>70</v>
      </c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  <c r="AF74" s="107"/>
      <c r="AG74" s="107"/>
      <c r="AH74" s="107"/>
      <c r="AI74" s="107"/>
      <c r="AJ74" s="107"/>
      <c r="AK74" s="107"/>
      <c r="AL74" s="107"/>
      <c r="AM74" s="107"/>
      <c r="AN74" s="107"/>
      <c r="AO74" s="107"/>
      <c r="AP74" s="101" t="str">
        <f t="shared" si="21"/>
        <v/>
      </c>
      <c r="AQ74" s="108" t="str">
        <f t="shared" si="15"/>
        <v/>
      </c>
      <c r="AR74" s="109" t="str">
        <f t="shared" si="22"/>
        <v/>
      </c>
      <c r="AS74" s="107"/>
      <c r="AT74" s="170"/>
      <c r="AU74" s="107"/>
      <c r="AV74" s="107"/>
      <c r="AW74" s="107"/>
      <c r="AX74" s="107"/>
      <c r="AY74" s="172" t="s">
        <v>278</v>
      </c>
      <c r="AZ74" s="172" t="s">
        <v>262</v>
      </c>
      <c r="BA74" s="172" t="e">
        <f>INDEX(AGRUPAMENTO!C72:N76,MATCH(AY74,AGRUPAMENTO!B72:B76,0),MATCH(AZ74,AGRUPAMENTO!C71:N71,0))</f>
        <v>#N/A</v>
      </c>
      <c r="BB74" s="174" t="s">
        <v>254</v>
      </c>
      <c r="BC74" s="176">
        <v>30</v>
      </c>
      <c r="BD74" s="172" t="e">
        <f>IF(BB74="SUBTERRÂNEA",IF(AV74="PVC",VLOOKUP(BC74,TEMPERATURA!G71:H85,2,0),VLOOKUP(BC74,TEMPERATURA!G71:I85,3,0)),IF(AV74="PVC",VLOOKUP(BC74,TEMPERATURA!B71:C85,2,0),VLOOKUP(BC74,TEMPERATURA!B71:D85,3,0)))</f>
        <v>#N/A</v>
      </c>
      <c r="BE74" s="102" t="str">
        <f t="shared" si="16"/>
        <v/>
      </c>
      <c r="BF74" s="108" t="str">
        <f t="shared" si="17"/>
        <v/>
      </c>
      <c r="BG74" s="102" t="e">
        <f t="shared" si="23"/>
        <v>#VALUE!</v>
      </c>
      <c r="BH74" s="108" t="str">
        <f t="shared" si="24"/>
        <v/>
      </c>
      <c r="BI74" s="173" t="str">
        <f>IF(AP74="","",
   IF(COUNTA(V74:AE74)&gt;=1,
      MAX(IFERROR(_xlfn.AGGREGATE(15,6,DISJUNTORES!$C$2:$C$100/(DISJUNTORES!$C$2:$C$100&gt;=BF74),1),""),25),
   IF(COUNTA(L74:U74)&gt;=1,
      MAX(IFERROR(_xlfn.AGGREGATE(15,6,DISJUNTORES!$C$2:$C$100/(DISJUNTORES!$C$2:$C$100&gt;=BF74),1),""),20),
   IF(COUNTA(A74:K74)&gt;=1,
      MAX(IFERROR(_xlfn.AGGREGATE(15,6,DISJUNTORES!$C$2:$C$100/(DISJUNTORES!$C$2:$C$100&gt;=BF74),1),""),16),
   IFERROR(_xlfn.AGGREGATE(15,6,DISJUNTORES!$C$2:$C$100/(DISJUNTORES!$C$2:$C$100&gt;=BF74),1),"")))))</f>
        <v/>
      </c>
      <c r="BJ74" s="107"/>
      <c r="BK74" s="107"/>
      <c r="BL74" s="107"/>
      <c r="BM74" s="109" t="str">
        <f t="shared" si="18"/>
        <v/>
      </c>
      <c r="BN74" s="109" t="str">
        <f t="shared" si="19"/>
        <v/>
      </c>
      <c r="BO74" s="109" t="str">
        <f t="shared" si="20"/>
        <v/>
      </c>
      <c r="BP74" s="104" t="str" cm="1">
        <f t="array" ref="BP74">IFERROR(
    INDEX(
        IF(AV74="PVC", 'CAP CONDUÇÃO 70º'!$A:$A, 'CAP CONDUÇÃO 90º'!$A:$A),
        IF(
            COUNTIF(
                IF(AV74="PVC",
                   CHOOSE(
                       MATCH(AU74,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MATCH(AU74,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BI74
            ) &gt; 0,
            MATCH(BI74,
                IF(AV74="PVC",
                   CHOOSE(
                       MATCH(AU74,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MATCH(AU74,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MATCH(BI74,
                IF(AV74="PVC",
                   CHOOSE(
                       MATCH(AU74,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MATCH(AU74,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74" s="166"/>
      <c r="BR74" s="166"/>
      <c r="BS74" s="165" t="str">
        <f ca="1">IFERROR(IF(BP74="","","3F#"&amp;BR74&amp;"mm²+N"&amp;VLOOKUP($BR$5,NEUTRO!$A:$B,2,0)&amp;"mm²+T"&amp;VLOOKUP($BR$5,TERRA!$A:$B,2,0)&amp;"mm²"),"")</f>
        <v/>
      </c>
      <c r="BT74" s="110"/>
      <c r="BU74" s="2"/>
    </row>
    <row r="75" spans="1:73" ht="36.5" hidden="1" thickBot="1" x14ac:dyDescent="0.4">
      <c r="A75" s="106">
        <v>71</v>
      </c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7"/>
      <c r="AD75" s="107"/>
      <c r="AE75" s="107"/>
      <c r="AF75" s="107"/>
      <c r="AG75" s="107"/>
      <c r="AH75" s="107"/>
      <c r="AI75" s="107"/>
      <c r="AJ75" s="107"/>
      <c r="AK75" s="107"/>
      <c r="AL75" s="107"/>
      <c r="AM75" s="107"/>
      <c r="AN75" s="107"/>
      <c r="AO75" s="107"/>
      <c r="AP75" s="101" t="str">
        <f t="shared" si="21"/>
        <v/>
      </c>
      <c r="AQ75" s="108" t="str">
        <f t="shared" si="15"/>
        <v/>
      </c>
      <c r="AR75" s="109" t="str">
        <f t="shared" si="22"/>
        <v/>
      </c>
      <c r="AS75" s="107"/>
      <c r="AT75" s="170"/>
      <c r="AU75" s="107"/>
      <c r="AV75" s="107"/>
      <c r="AW75" s="107"/>
      <c r="AX75" s="107"/>
      <c r="AY75" s="172" t="s">
        <v>278</v>
      </c>
      <c r="AZ75" s="172" t="s">
        <v>262</v>
      </c>
      <c r="BA75" s="172" t="e">
        <f>INDEX(AGRUPAMENTO!C73:N77,MATCH(AY75,AGRUPAMENTO!B73:B77,0),MATCH(AZ75,AGRUPAMENTO!C72:N72,0))</f>
        <v>#N/A</v>
      </c>
      <c r="BB75" s="174" t="s">
        <v>254</v>
      </c>
      <c r="BC75" s="176">
        <v>30</v>
      </c>
      <c r="BD75" s="172" t="e">
        <f>IF(BB75="SUBTERRÂNEA",IF(AV75="PVC",VLOOKUP(BC75,TEMPERATURA!G72:H86,2,0),VLOOKUP(BC75,TEMPERATURA!G72:I86,3,0)),IF(AV75="PVC",VLOOKUP(BC75,TEMPERATURA!B72:C86,2,0),VLOOKUP(BC75,TEMPERATURA!B72:D86,3,0)))</f>
        <v>#N/A</v>
      </c>
      <c r="BE75" s="102" t="str">
        <f t="shared" si="16"/>
        <v/>
      </c>
      <c r="BF75" s="108" t="str">
        <f t="shared" si="17"/>
        <v/>
      </c>
      <c r="BG75" s="102" t="e">
        <f t="shared" si="23"/>
        <v>#VALUE!</v>
      </c>
      <c r="BH75" s="108" t="str">
        <f t="shared" si="24"/>
        <v/>
      </c>
      <c r="BI75" s="173" t="str">
        <f>IF(AP75="","",
   IF(COUNTA(V75:AE75)&gt;=1,
      MAX(IFERROR(_xlfn.AGGREGATE(15,6,DISJUNTORES!$C$2:$C$100/(DISJUNTORES!$C$2:$C$100&gt;=BF75),1),""),25),
   IF(COUNTA(L75:U75)&gt;=1,
      MAX(IFERROR(_xlfn.AGGREGATE(15,6,DISJUNTORES!$C$2:$C$100/(DISJUNTORES!$C$2:$C$100&gt;=BF75),1),""),20),
   IF(COUNTA(A75:K75)&gt;=1,
      MAX(IFERROR(_xlfn.AGGREGATE(15,6,DISJUNTORES!$C$2:$C$100/(DISJUNTORES!$C$2:$C$100&gt;=BF75),1),""),16),
   IFERROR(_xlfn.AGGREGATE(15,6,DISJUNTORES!$C$2:$C$100/(DISJUNTORES!$C$2:$C$100&gt;=BF75),1),"")))))</f>
        <v/>
      </c>
      <c r="BJ75" s="107"/>
      <c r="BK75" s="107"/>
      <c r="BL75" s="107"/>
      <c r="BM75" s="109" t="str">
        <f t="shared" si="18"/>
        <v/>
      </c>
      <c r="BN75" s="109" t="str">
        <f t="shared" si="19"/>
        <v/>
      </c>
      <c r="BO75" s="109" t="str">
        <f t="shared" si="20"/>
        <v/>
      </c>
      <c r="BP75" s="104" t="str" cm="1">
        <f t="array" ref="BP75">IFERROR(
    INDEX(
        IF(AV75="PVC", 'CAP CONDUÇÃO 70º'!$A:$A, 'CAP CONDUÇÃO 90º'!$A:$A),
        IF(
            COUNTIF(
                IF(AV75="PVC",
                   CHOOSE(
                       MATCH(AU75,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MATCH(AU75,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BI75
            ) &gt; 0,
            MATCH(BI75,
                IF(AV75="PVC",
                   CHOOSE(
                       MATCH(AU75,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MATCH(AU75,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MATCH(BI75,
                IF(AV75="PVC",
                   CHOOSE(
                       MATCH(AU75,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MATCH(AU75,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75" s="166"/>
      <c r="BR75" s="166"/>
      <c r="BS75" s="165" t="str">
        <f ca="1">IFERROR(IF(BP75="","","3F#"&amp;BR75&amp;"mm²+N"&amp;VLOOKUP($BR$5,NEUTRO!$A:$B,2,0)&amp;"mm²+T"&amp;VLOOKUP($BR$5,TERRA!$A:$B,2,0)&amp;"mm²"),"")</f>
        <v/>
      </c>
      <c r="BT75" s="110"/>
      <c r="BU75" s="2"/>
    </row>
    <row r="76" spans="1:73" ht="36.5" hidden="1" thickBot="1" x14ac:dyDescent="0.4">
      <c r="A76" s="106">
        <v>72</v>
      </c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07"/>
      <c r="AN76" s="107"/>
      <c r="AO76" s="107"/>
      <c r="AP76" s="101" t="str">
        <f t="shared" si="21"/>
        <v/>
      </c>
      <c r="AQ76" s="108" t="str">
        <f t="shared" si="15"/>
        <v/>
      </c>
      <c r="AR76" s="109" t="str">
        <f t="shared" si="22"/>
        <v/>
      </c>
      <c r="AS76" s="107"/>
      <c r="AT76" s="170"/>
      <c r="AU76" s="107"/>
      <c r="AV76" s="107"/>
      <c r="AW76" s="107"/>
      <c r="AX76" s="107"/>
      <c r="AY76" s="172" t="s">
        <v>278</v>
      </c>
      <c r="AZ76" s="172" t="s">
        <v>262</v>
      </c>
      <c r="BA76" s="172" t="e">
        <f>INDEX(AGRUPAMENTO!C74:N78,MATCH(AY76,AGRUPAMENTO!B74:B78,0),MATCH(AZ76,AGRUPAMENTO!C73:N73,0))</f>
        <v>#N/A</v>
      </c>
      <c r="BB76" s="174" t="s">
        <v>254</v>
      </c>
      <c r="BC76" s="176">
        <v>30</v>
      </c>
      <c r="BD76" s="172" t="e">
        <f>IF(BB76="SUBTERRÂNEA",IF(AV76="PVC",VLOOKUP(BC76,TEMPERATURA!G73:H87,2,0),VLOOKUP(BC76,TEMPERATURA!G73:I87,3,0)),IF(AV76="PVC",VLOOKUP(BC76,TEMPERATURA!B73:C87,2,0),VLOOKUP(BC76,TEMPERATURA!B73:D87,3,0)))</f>
        <v>#N/A</v>
      </c>
      <c r="BE76" s="102" t="str">
        <f t="shared" si="16"/>
        <v/>
      </c>
      <c r="BF76" s="108" t="str">
        <f t="shared" si="17"/>
        <v/>
      </c>
      <c r="BG76" s="102" t="e">
        <f t="shared" si="23"/>
        <v>#VALUE!</v>
      </c>
      <c r="BH76" s="108" t="str">
        <f t="shared" si="24"/>
        <v/>
      </c>
      <c r="BI76" s="173" t="str">
        <f>IF(AP76="","",
   IF(COUNTA(V76:AE76)&gt;=1,
      MAX(IFERROR(_xlfn.AGGREGATE(15,6,DISJUNTORES!$C$2:$C$100/(DISJUNTORES!$C$2:$C$100&gt;=BF76),1),""),25),
   IF(COUNTA(L76:U76)&gt;=1,
      MAX(IFERROR(_xlfn.AGGREGATE(15,6,DISJUNTORES!$C$2:$C$100/(DISJUNTORES!$C$2:$C$100&gt;=BF76),1),""),20),
   IF(COUNTA(A76:K76)&gt;=1,
      MAX(IFERROR(_xlfn.AGGREGATE(15,6,DISJUNTORES!$C$2:$C$100/(DISJUNTORES!$C$2:$C$100&gt;=BF76),1),""),16),
   IFERROR(_xlfn.AGGREGATE(15,6,DISJUNTORES!$C$2:$C$100/(DISJUNTORES!$C$2:$C$100&gt;=BF76),1),"")))))</f>
        <v/>
      </c>
      <c r="BJ76" s="107"/>
      <c r="BK76" s="107"/>
      <c r="BL76" s="107"/>
      <c r="BM76" s="109" t="str">
        <f t="shared" si="18"/>
        <v/>
      </c>
      <c r="BN76" s="109" t="str">
        <f t="shared" si="19"/>
        <v/>
      </c>
      <c r="BO76" s="109" t="str">
        <f t="shared" si="20"/>
        <v/>
      </c>
      <c r="BP76" s="104" t="str" cm="1">
        <f t="array" ref="BP76">IFERROR(
    INDEX(
        IF(AV76="PVC", 'CAP CONDUÇÃO 70º'!$A:$A, 'CAP CONDUÇÃO 90º'!$A:$A),
        IF(
            COUNTIF(
                IF(AV76="PVC",
                   CHOOSE(
                       MATCH(AU76,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MATCH(AU76,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BI76
            ) &gt; 0,
            MATCH(BI76,
                IF(AV76="PVC",
                   CHOOSE(
                       MATCH(AU76,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MATCH(AU76,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MATCH(BI76,
                IF(AV76="PVC",
                   CHOOSE(
                       MATCH(AU76,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MATCH(AU76,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76" s="166"/>
      <c r="BR76" s="166"/>
      <c r="BS76" s="165" t="str">
        <f ca="1">IFERROR(IF(BP76="","","3F#"&amp;BR76&amp;"mm²+N"&amp;VLOOKUP($BR$5,NEUTRO!$A:$B,2,0)&amp;"mm²+T"&amp;VLOOKUP($BR$5,TERRA!$A:$B,2,0)&amp;"mm²"),"")</f>
        <v/>
      </c>
      <c r="BT76" s="110"/>
      <c r="BU76" s="2"/>
    </row>
    <row r="77" spans="1:73" ht="36.5" hidden="1" thickBot="1" x14ac:dyDescent="0.4">
      <c r="A77" s="106">
        <v>73</v>
      </c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  <c r="AF77" s="107"/>
      <c r="AG77" s="107"/>
      <c r="AH77" s="107"/>
      <c r="AI77" s="107"/>
      <c r="AJ77" s="107"/>
      <c r="AK77" s="107"/>
      <c r="AL77" s="107"/>
      <c r="AM77" s="107"/>
      <c r="AN77" s="107"/>
      <c r="AO77" s="107"/>
      <c r="AP77" s="101" t="str">
        <f t="shared" si="21"/>
        <v/>
      </c>
      <c r="AQ77" s="108" t="str">
        <f t="shared" si="15"/>
        <v/>
      </c>
      <c r="AR77" s="109" t="str">
        <f t="shared" si="22"/>
        <v/>
      </c>
      <c r="AS77" s="107"/>
      <c r="AT77" s="170"/>
      <c r="AU77" s="107"/>
      <c r="AV77" s="107"/>
      <c r="AW77" s="107"/>
      <c r="AX77" s="107"/>
      <c r="AY77" s="172" t="s">
        <v>278</v>
      </c>
      <c r="AZ77" s="172" t="s">
        <v>262</v>
      </c>
      <c r="BA77" s="172" t="e">
        <f>INDEX(AGRUPAMENTO!C75:N79,MATCH(AY77,AGRUPAMENTO!B75:B79,0),MATCH(AZ77,AGRUPAMENTO!C74:N74,0))</f>
        <v>#N/A</v>
      </c>
      <c r="BB77" s="174" t="s">
        <v>254</v>
      </c>
      <c r="BC77" s="176">
        <v>30</v>
      </c>
      <c r="BD77" s="172" t="e">
        <f>IF(BB77="SUBTERRÂNEA",IF(AV77="PVC",VLOOKUP(BC77,TEMPERATURA!G74:H88,2,0),VLOOKUP(BC77,TEMPERATURA!G74:I88,3,0)),IF(AV77="PVC",VLOOKUP(BC77,TEMPERATURA!B74:C88,2,0),VLOOKUP(BC77,TEMPERATURA!B74:D88,3,0)))</f>
        <v>#N/A</v>
      </c>
      <c r="BE77" s="102" t="str">
        <f t="shared" si="16"/>
        <v/>
      </c>
      <c r="BF77" s="108" t="str">
        <f t="shared" si="17"/>
        <v/>
      </c>
      <c r="BG77" s="102" t="e">
        <f t="shared" si="23"/>
        <v>#VALUE!</v>
      </c>
      <c r="BH77" s="108" t="str">
        <f t="shared" si="24"/>
        <v/>
      </c>
      <c r="BI77" s="173" t="str">
        <f>IF(AP77="","",
   IF(COUNTA(V77:AE77)&gt;=1,
      MAX(IFERROR(_xlfn.AGGREGATE(15,6,DISJUNTORES!$C$2:$C$100/(DISJUNTORES!$C$2:$C$100&gt;=BF77),1),""),25),
   IF(COUNTA(L77:U77)&gt;=1,
      MAX(IFERROR(_xlfn.AGGREGATE(15,6,DISJUNTORES!$C$2:$C$100/(DISJUNTORES!$C$2:$C$100&gt;=BF77),1),""),20),
   IF(COUNTA(A77:K77)&gt;=1,
      MAX(IFERROR(_xlfn.AGGREGATE(15,6,DISJUNTORES!$C$2:$C$100/(DISJUNTORES!$C$2:$C$100&gt;=BF77),1),""),16),
   IFERROR(_xlfn.AGGREGATE(15,6,DISJUNTORES!$C$2:$C$100/(DISJUNTORES!$C$2:$C$100&gt;=BF77),1),"")))))</f>
        <v/>
      </c>
      <c r="BJ77" s="107"/>
      <c r="BK77" s="107"/>
      <c r="BL77" s="107"/>
      <c r="BM77" s="109" t="str">
        <f t="shared" si="18"/>
        <v/>
      </c>
      <c r="BN77" s="109" t="str">
        <f t="shared" si="19"/>
        <v/>
      </c>
      <c r="BO77" s="109" t="str">
        <f t="shared" si="20"/>
        <v/>
      </c>
      <c r="BP77" s="104" t="str" cm="1">
        <f t="array" ref="BP77">IFERROR(
    INDEX(
        IF(AV77="PVC", 'CAP CONDUÇÃO 70º'!$A:$A, 'CAP CONDUÇÃO 90º'!$A:$A),
        IF(
            COUNTIF(
                IF(AV77="PVC",
                   CHOOSE(
                       MATCH(AU77,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MATCH(AU77,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BI77
            ) &gt; 0,
            MATCH(BI77,
                IF(AV77="PVC",
                   CHOOSE(
                       MATCH(AU77,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MATCH(AU77,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MATCH(BI77,
                IF(AV77="PVC",
                   CHOOSE(
                       MATCH(AU77,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MATCH(AU77,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77" s="166"/>
      <c r="BR77" s="166"/>
      <c r="BS77" s="165" t="str">
        <f ca="1">IFERROR(IF(BP77="","","3F#"&amp;BR77&amp;"mm²+N"&amp;VLOOKUP($BR$5,NEUTRO!$A:$B,2,0)&amp;"mm²+T"&amp;VLOOKUP($BR$5,TERRA!$A:$B,2,0)&amp;"mm²"),"")</f>
        <v/>
      </c>
      <c r="BT77" s="110"/>
      <c r="BU77" s="2"/>
    </row>
    <row r="78" spans="1:73" ht="36.5" hidden="1" thickBot="1" x14ac:dyDescent="0.4">
      <c r="A78" s="106">
        <v>74</v>
      </c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7"/>
      <c r="AK78" s="107"/>
      <c r="AL78" s="107"/>
      <c r="AM78" s="107"/>
      <c r="AN78" s="107"/>
      <c r="AO78" s="107"/>
      <c r="AP78" s="101" t="str">
        <f t="shared" si="21"/>
        <v/>
      </c>
      <c r="AQ78" s="108" t="str">
        <f t="shared" si="15"/>
        <v/>
      </c>
      <c r="AR78" s="109" t="str">
        <f t="shared" si="22"/>
        <v/>
      </c>
      <c r="AS78" s="107"/>
      <c r="AT78" s="170"/>
      <c r="AU78" s="107"/>
      <c r="AV78" s="107"/>
      <c r="AW78" s="107"/>
      <c r="AX78" s="107"/>
      <c r="AY78" s="172" t="s">
        <v>278</v>
      </c>
      <c r="AZ78" s="172" t="s">
        <v>262</v>
      </c>
      <c r="BA78" s="172" t="e">
        <f>INDEX(AGRUPAMENTO!C76:N80,MATCH(AY78,AGRUPAMENTO!B76:B80,0),MATCH(AZ78,AGRUPAMENTO!C75:N75,0))</f>
        <v>#N/A</v>
      </c>
      <c r="BB78" s="174" t="s">
        <v>254</v>
      </c>
      <c r="BC78" s="176">
        <v>30</v>
      </c>
      <c r="BD78" s="172" t="e">
        <f>IF(BB78="SUBTERRÂNEA",IF(AV78="PVC",VLOOKUP(BC78,TEMPERATURA!G75:H89,2,0),VLOOKUP(BC78,TEMPERATURA!G75:I89,3,0)),IF(AV78="PVC",VLOOKUP(BC78,TEMPERATURA!B75:C89,2,0),VLOOKUP(BC78,TEMPERATURA!B75:D89,3,0)))</f>
        <v>#N/A</v>
      </c>
      <c r="BE78" s="102" t="str">
        <f t="shared" si="16"/>
        <v/>
      </c>
      <c r="BF78" s="108" t="str">
        <f t="shared" si="17"/>
        <v/>
      </c>
      <c r="BG78" s="102" t="e">
        <f t="shared" si="23"/>
        <v>#VALUE!</v>
      </c>
      <c r="BH78" s="108" t="str">
        <f t="shared" si="24"/>
        <v/>
      </c>
      <c r="BI78" s="173" t="str">
        <f>IF(AP78="","",
   IF(COUNTA(V78:AE78)&gt;=1,
      MAX(IFERROR(_xlfn.AGGREGATE(15,6,DISJUNTORES!$C$2:$C$100/(DISJUNTORES!$C$2:$C$100&gt;=BF78),1),""),25),
   IF(COUNTA(L78:U78)&gt;=1,
      MAX(IFERROR(_xlfn.AGGREGATE(15,6,DISJUNTORES!$C$2:$C$100/(DISJUNTORES!$C$2:$C$100&gt;=BF78),1),""),20),
   IF(COUNTA(A78:K78)&gt;=1,
      MAX(IFERROR(_xlfn.AGGREGATE(15,6,DISJUNTORES!$C$2:$C$100/(DISJUNTORES!$C$2:$C$100&gt;=BF78),1),""),16),
   IFERROR(_xlfn.AGGREGATE(15,6,DISJUNTORES!$C$2:$C$100/(DISJUNTORES!$C$2:$C$100&gt;=BF78),1),"")))))</f>
        <v/>
      </c>
      <c r="BJ78" s="107"/>
      <c r="BK78" s="107"/>
      <c r="BL78" s="107"/>
      <c r="BM78" s="109" t="str">
        <f t="shared" si="18"/>
        <v/>
      </c>
      <c r="BN78" s="109" t="str">
        <f t="shared" si="19"/>
        <v/>
      </c>
      <c r="BO78" s="109" t="str">
        <f t="shared" si="20"/>
        <v/>
      </c>
      <c r="BP78" s="104" t="str" cm="1">
        <f t="array" ref="BP78">IFERROR(
    INDEX(
        IF(AV78="PVC", 'CAP CONDUÇÃO 70º'!$A:$A, 'CAP CONDUÇÃO 90º'!$A:$A),
        IF(
            COUNTIF(
                IF(AV78="PVC",
                   CHOOSE(
                       MATCH(AU78,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MATCH(AU78,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BI78
            ) &gt; 0,
            MATCH(BI78,
                IF(AV78="PVC",
                   CHOOSE(
                       MATCH(AU78,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MATCH(AU78,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MATCH(BI78,
                IF(AV78="PVC",
                   CHOOSE(
                       MATCH(AU78,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MATCH(AU78,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78" s="166"/>
      <c r="BR78" s="166"/>
      <c r="BS78" s="165" t="str">
        <f ca="1">IFERROR(IF(BP78="","","3F#"&amp;BR78&amp;"mm²+N"&amp;VLOOKUP($BR$5,NEUTRO!$A:$B,2,0)&amp;"mm²+T"&amp;VLOOKUP($BR$5,TERRA!$A:$B,2,0)&amp;"mm²"),"")</f>
        <v/>
      </c>
      <c r="BT78" s="110"/>
      <c r="BU78" s="2"/>
    </row>
    <row r="79" spans="1:73" ht="36.5" hidden="1" thickBot="1" x14ac:dyDescent="0.4">
      <c r="A79" s="106">
        <v>75</v>
      </c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  <c r="AI79" s="107"/>
      <c r="AJ79" s="107"/>
      <c r="AK79" s="107"/>
      <c r="AL79" s="107"/>
      <c r="AM79" s="107"/>
      <c r="AN79" s="107"/>
      <c r="AO79" s="107"/>
      <c r="AP79" s="101" t="str">
        <f t="shared" si="21"/>
        <v/>
      </c>
      <c r="AQ79" s="108" t="str">
        <f t="shared" si="15"/>
        <v/>
      </c>
      <c r="AR79" s="109" t="str">
        <f t="shared" si="22"/>
        <v/>
      </c>
      <c r="AS79" s="107"/>
      <c r="AT79" s="170"/>
      <c r="AU79" s="107"/>
      <c r="AV79" s="107"/>
      <c r="AW79" s="107"/>
      <c r="AX79" s="107"/>
      <c r="AY79" s="172" t="s">
        <v>278</v>
      </c>
      <c r="AZ79" s="172" t="s">
        <v>262</v>
      </c>
      <c r="BA79" s="172" t="e">
        <f>INDEX(AGRUPAMENTO!C77:N81,MATCH(AY79,AGRUPAMENTO!B77:B81,0),MATCH(AZ79,AGRUPAMENTO!C76:N76,0))</f>
        <v>#N/A</v>
      </c>
      <c r="BB79" s="174" t="s">
        <v>254</v>
      </c>
      <c r="BC79" s="176">
        <v>30</v>
      </c>
      <c r="BD79" s="172" t="e">
        <f>IF(BB79="SUBTERRÂNEA",IF(AV79="PVC",VLOOKUP(BC79,TEMPERATURA!G76:H90,2,0),VLOOKUP(BC79,TEMPERATURA!G76:I90,3,0)),IF(AV79="PVC",VLOOKUP(BC79,TEMPERATURA!B76:C90,2,0),VLOOKUP(BC79,TEMPERATURA!B76:D90,3,0)))</f>
        <v>#N/A</v>
      </c>
      <c r="BE79" s="102" t="str">
        <f t="shared" si="16"/>
        <v/>
      </c>
      <c r="BF79" s="108" t="str">
        <f t="shared" si="17"/>
        <v/>
      </c>
      <c r="BG79" s="102" t="e">
        <f t="shared" si="23"/>
        <v>#VALUE!</v>
      </c>
      <c r="BH79" s="108" t="str">
        <f t="shared" si="24"/>
        <v/>
      </c>
      <c r="BI79" s="173" t="str">
        <f>IF(AP79="","",
   IF(COUNTA(V79:AE79)&gt;=1,
      MAX(IFERROR(_xlfn.AGGREGATE(15,6,DISJUNTORES!$C$2:$C$100/(DISJUNTORES!$C$2:$C$100&gt;=BF79),1),""),25),
   IF(COUNTA(L79:U79)&gt;=1,
      MAX(IFERROR(_xlfn.AGGREGATE(15,6,DISJUNTORES!$C$2:$C$100/(DISJUNTORES!$C$2:$C$100&gt;=BF79),1),""),20),
   IF(COUNTA(A79:K79)&gt;=1,
      MAX(IFERROR(_xlfn.AGGREGATE(15,6,DISJUNTORES!$C$2:$C$100/(DISJUNTORES!$C$2:$C$100&gt;=BF79),1),""),16),
   IFERROR(_xlfn.AGGREGATE(15,6,DISJUNTORES!$C$2:$C$100/(DISJUNTORES!$C$2:$C$100&gt;=BF79),1),"")))))</f>
        <v/>
      </c>
      <c r="BJ79" s="107"/>
      <c r="BK79" s="107"/>
      <c r="BL79" s="107"/>
      <c r="BM79" s="109" t="str">
        <f t="shared" si="18"/>
        <v/>
      </c>
      <c r="BN79" s="109" t="str">
        <f t="shared" si="19"/>
        <v/>
      </c>
      <c r="BO79" s="109" t="str">
        <f t="shared" si="20"/>
        <v/>
      </c>
      <c r="BP79" s="104" t="str" cm="1">
        <f t="array" ref="BP79">IFERROR(
    INDEX(
        IF(AV79="PVC", 'CAP CONDUÇÃO 70º'!$A:$A, 'CAP CONDUÇÃO 90º'!$A:$A),
        IF(
            COUNTIF(
                IF(AV79="PVC",
                   CHOOSE(
                       MATCH(AU79,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MATCH(AU79,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BI79
            ) &gt; 0,
            MATCH(BI79,
                IF(AV79="PVC",
                   CHOOSE(
                       MATCH(AU79,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MATCH(AU79,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MATCH(BI79,
                IF(AV79="PVC",
                   CHOOSE(
                       MATCH(AU79,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MATCH(AU79,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79" s="166"/>
      <c r="BR79" s="166"/>
      <c r="BS79" s="165" t="str">
        <f ca="1">IFERROR(IF(BP79="","","3F#"&amp;BR79&amp;"mm²+N"&amp;VLOOKUP($BR$5,NEUTRO!$A:$B,2,0)&amp;"mm²+T"&amp;VLOOKUP($BR$5,TERRA!$A:$B,2,0)&amp;"mm²"),"")</f>
        <v/>
      </c>
      <c r="BT79" s="110"/>
      <c r="BU79" s="2"/>
    </row>
    <row r="80" spans="1:73" ht="36.5" hidden="1" thickBot="1" x14ac:dyDescent="0.4">
      <c r="A80" s="106">
        <v>76</v>
      </c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  <c r="AH80" s="107"/>
      <c r="AI80" s="107"/>
      <c r="AJ80" s="107"/>
      <c r="AK80" s="107"/>
      <c r="AL80" s="107"/>
      <c r="AM80" s="107"/>
      <c r="AN80" s="107"/>
      <c r="AO80" s="107"/>
      <c r="AP80" s="101" t="str">
        <f t="shared" si="21"/>
        <v/>
      </c>
      <c r="AQ80" s="108" t="str">
        <f t="shared" si="15"/>
        <v/>
      </c>
      <c r="AR80" s="109" t="str">
        <f t="shared" si="22"/>
        <v/>
      </c>
      <c r="AS80" s="107"/>
      <c r="AT80" s="170"/>
      <c r="AU80" s="107"/>
      <c r="AV80" s="107"/>
      <c r="AW80" s="107"/>
      <c r="AX80" s="107"/>
      <c r="AY80" s="172" t="s">
        <v>278</v>
      </c>
      <c r="AZ80" s="172" t="s">
        <v>262</v>
      </c>
      <c r="BA80" s="172" t="e">
        <f>INDEX(AGRUPAMENTO!C78:N82,MATCH(AY80,AGRUPAMENTO!B78:B82,0),MATCH(AZ80,AGRUPAMENTO!C77:N77,0))</f>
        <v>#N/A</v>
      </c>
      <c r="BB80" s="174" t="s">
        <v>254</v>
      </c>
      <c r="BC80" s="176">
        <v>30</v>
      </c>
      <c r="BD80" s="172" t="e">
        <f>IF(BB80="SUBTERRÂNEA",IF(AV80="PVC",VLOOKUP(BC80,TEMPERATURA!G77:H91,2,0),VLOOKUP(BC80,TEMPERATURA!G77:I91,3,0)),IF(AV80="PVC",VLOOKUP(BC80,TEMPERATURA!B77:C91,2,0),VLOOKUP(BC80,TEMPERATURA!B77:D91,3,0)))</f>
        <v>#N/A</v>
      </c>
      <c r="BE80" s="102" t="str">
        <f t="shared" si="16"/>
        <v/>
      </c>
      <c r="BF80" s="108" t="str">
        <f t="shared" si="17"/>
        <v/>
      </c>
      <c r="BG80" s="102" t="e">
        <f t="shared" si="23"/>
        <v>#VALUE!</v>
      </c>
      <c r="BH80" s="108" t="str">
        <f t="shared" si="24"/>
        <v/>
      </c>
      <c r="BI80" s="173" t="str">
        <f>IF(AP80="","",
   IF(COUNTA(V80:AE80)&gt;=1,
      MAX(IFERROR(_xlfn.AGGREGATE(15,6,DISJUNTORES!$C$2:$C$100/(DISJUNTORES!$C$2:$C$100&gt;=BF80),1),""),25),
   IF(COUNTA(L80:U80)&gt;=1,
      MAX(IFERROR(_xlfn.AGGREGATE(15,6,DISJUNTORES!$C$2:$C$100/(DISJUNTORES!$C$2:$C$100&gt;=BF80),1),""),20),
   IF(COUNTA(A80:K80)&gt;=1,
      MAX(IFERROR(_xlfn.AGGREGATE(15,6,DISJUNTORES!$C$2:$C$100/(DISJUNTORES!$C$2:$C$100&gt;=BF80),1),""),16),
   IFERROR(_xlfn.AGGREGATE(15,6,DISJUNTORES!$C$2:$C$100/(DISJUNTORES!$C$2:$C$100&gt;=BF80),1),"")))))</f>
        <v/>
      </c>
      <c r="BJ80" s="107"/>
      <c r="BK80" s="107"/>
      <c r="BL80" s="107"/>
      <c r="BM80" s="109" t="str">
        <f t="shared" si="18"/>
        <v/>
      </c>
      <c r="BN80" s="109" t="str">
        <f t="shared" si="19"/>
        <v/>
      </c>
      <c r="BO80" s="109" t="str">
        <f t="shared" si="20"/>
        <v/>
      </c>
      <c r="BP80" s="104" t="str" cm="1">
        <f t="array" ref="BP80">IFERROR(
    INDEX(
        IF(AV80="PVC", 'CAP CONDUÇÃO 70º'!$A:$A, 'CAP CONDUÇÃO 90º'!$A:$A),
        IF(
            COUNTIF(
                IF(AV80="PVC",
                   CHOOSE(
                       MATCH(AU80,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MATCH(AU80,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BI80
            ) &gt; 0,
            MATCH(BI80,
                IF(AV80="PVC",
                   CHOOSE(
                       MATCH(AU80,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MATCH(AU80,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MATCH(BI80,
                IF(AV80="PVC",
                   CHOOSE(
                       MATCH(AU80,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MATCH(AU80,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80" s="166"/>
      <c r="BR80" s="166"/>
      <c r="BS80" s="165" t="str">
        <f ca="1">IFERROR(IF(BP80="","","3F#"&amp;BR80&amp;"mm²+N"&amp;VLOOKUP($BR$5,NEUTRO!$A:$B,2,0)&amp;"mm²+T"&amp;VLOOKUP($BR$5,TERRA!$A:$B,2,0)&amp;"mm²"),"")</f>
        <v/>
      </c>
      <c r="BT80" s="110"/>
      <c r="BU80" s="2"/>
    </row>
    <row r="81" spans="1:73" ht="36.5" hidden="1" thickBot="1" x14ac:dyDescent="0.4">
      <c r="A81" s="106">
        <v>77</v>
      </c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  <c r="AF81" s="107"/>
      <c r="AG81" s="107"/>
      <c r="AH81" s="107"/>
      <c r="AI81" s="107"/>
      <c r="AJ81" s="107"/>
      <c r="AK81" s="107"/>
      <c r="AL81" s="107"/>
      <c r="AM81" s="107"/>
      <c r="AN81" s="107"/>
      <c r="AO81" s="107"/>
      <c r="AP81" s="101" t="str">
        <f t="shared" si="21"/>
        <v/>
      </c>
      <c r="AQ81" s="108" t="str">
        <f t="shared" si="15"/>
        <v/>
      </c>
      <c r="AR81" s="109" t="str">
        <f t="shared" si="22"/>
        <v/>
      </c>
      <c r="AS81" s="107"/>
      <c r="AT81" s="170"/>
      <c r="AU81" s="107"/>
      <c r="AV81" s="107"/>
      <c r="AW81" s="107"/>
      <c r="AX81" s="107"/>
      <c r="AY81" s="172" t="s">
        <v>278</v>
      </c>
      <c r="AZ81" s="172" t="s">
        <v>262</v>
      </c>
      <c r="BA81" s="172" t="e">
        <f>INDEX(AGRUPAMENTO!C79:N83,MATCH(AY81,AGRUPAMENTO!B79:B83,0),MATCH(AZ81,AGRUPAMENTO!C78:N78,0))</f>
        <v>#N/A</v>
      </c>
      <c r="BB81" s="174" t="s">
        <v>254</v>
      </c>
      <c r="BC81" s="176">
        <v>30</v>
      </c>
      <c r="BD81" s="172" t="e">
        <f>IF(BB81="SUBTERRÂNEA",IF(AV81="PVC",VLOOKUP(BC81,TEMPERATURA!G78:H92,2,0),VLOOKUP(BC81,TEMPERATURA!G78:I92,3,0)),IF(AV81="PVC",VLOOKUP(BC81,TEMPERATURA!B78:C92,2,0),VLOOKUP(BC81,TEMPERATURA!B78:D92,3,0)))</f>
        <v>#N/A</v>
      </c>
      <c r="BE81" s="102" t="str">
        <f t="shared" si="16"/>
        <v/>
      </c>
      <c r="BF81" s="108" t="str">
        <f t="shared" si="17"/>
        <v/>
      </c>
      <c r="BG81" s="102" t="e">
        <f t="shared" si="23"/>
        <v>#VALUE!</v>
      </c>
      <c r="BH81" s="108" t="str">
        <f t="shared" si="24"/>
        <v/>
      </c>
      <c r="BI81" s="173" t="str">
        <f>IF(AP81="","",
   IF(COUNTA(V81:AE81)&gt;=1,
      MAX(IFERROR(_xlfn.AGGREGATE(15,6,DISJUNTORES!$C$2:$C$100/(DISJUNTORES!$C$2:$C$100&gt;=BF81),1),""),25),
   IF(COUNTA(L81:U81)&gt;=1,
      MAX(IFERROR(_xlfn.AGGREGATE(15,6,DISJUNTORES!$C$2:$C$100/(DISJUNTORES!$C$2:$C$100&gt;=BF81),1),""),20),
   IF(COUNTA(A81:K81)&gt;=1,
      MAX(IFERROR(_xlfn.AGGREGATE(15,6,DISJUNTORES!$C$2:$C$100/(DISJUNTORES!$C$2:$C$100&gt;=BF81),1),""),16),
   IFERROR(_xlfn.AGGREGATE(15,6,DISJUNTORES!$C$2:$C$100/(DISJUNTORES!$C$2:$C$100&gt;=BF81),1),"")))))</f>
        <v/>
      </c>
      <c r="BJ81" s="107"/>
      <c r="BK81" s="107"/>
      <c r="BL81" s="107"/>
      <c r="BM81" s="109" t="str">
        <f t="shared" si="18"/>
        <v/>
      </c>
      <c r="BN81" s="109" t="str">
        <f t="shared" si="19"/>
        <v/>
      </c>
      <c r="BO81" s="109" t="str">
        <f t="shared" si="20"/>
        <v/>
      </c>
      <c r="BP81" s="104" t="str" cm="1">
        <f t="array" ref="BP81">IFERROR(
    INDEX(
        IF(AV81="PVC", 'CAP CONDUÇÃO 70º'!$A:$A, 'CAP CONDUÇÃO 90º'!$A:$A),
        IF(
            COUNTIF(
                IF(AV81="PVC",
                   CHOOSE(
                       MATCH(AU81,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MATCH(AU81,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BI81
            ) &gt; 0,
            MATCH(BI81,
                IF(AV81="PVC",
                   CHOOSE(
                       MATCH(AU81,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MATCH(AU81,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MATCH(BI81,
                IF(AV81="PVC",
                   CHOOSE(
                       MATCH(AU81,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MATCH(AU81,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81" s="166"/>
      <c r="BR81" s="166"/>
      <c r="BS81" s="165" t="str">
        <f ca="1">IFERROR(IF(BP81="","","3F#"&amp;BR81&amp;"mm²+N"&amp;VLOOKUP($BR$5,NEUTRO!$A:$B,2,0)&amp;"mm²+T"&amp;VLOOKUP($BR$5,TERRA!$A:$B,2,0)&amp;"mm²"),"")</f>
        <v/>
      </c>
      <c r="BT81" s="110"/>
      <c r="BU81" s="2"/>
    </row>
    <row r="82" spans="1:73" ht="36.5" hidden="1" thickBot="1" x14ac:dyDescent="0.4">
      <c r="A82" s="106">
        <v>78</v>
      </c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  <c r="AF82" s="107"/>
      <c r="AG82" s="107"/>
      <c r="AH82" s="107"/>
      <c r="AI82" s="107"/>
      <c r="AJ82" s="107"/>
      <c r="AK82" s="107"/>
      <c r="AL82" s="107"/>
      <c r="AM82" s="107"/>
      <c r="AN82" s="107"/>
      <c r="AO82" s="107"/>
      <c r="AP82" s="101" t="str">
        <f t="shared" si="21"/>
        <v/>
      </c>
      <c r="AQ82" s="108" t="str">
        <f t="shared" si="15"/>
        <v/>
      </c>
      <c r="AR82" s="109" t="str">
        <f t="shared" si="22"/>
        <v/>
      </c>
      <c r="AS82" s="107"/>
      <c r="AT82" s="170"/>
      <c r="AU82" s="107"/>
      <c r="AV82" s="107"/>
      <c r="AW82" s="107"/>
      <c r="AX82" s="107"/>
      <c r="AY82" s="172" t="s">
        <v>278</v>
      </c>
      <c r="AZ82" s="172" t="s">
        <v>262</v>
      </c>
      <c r="BA82" s="172" t="e">
        <f>INDEX(AGRUPAMENTO!C80:N84,MATCH(AY82,AGRUPAMENTO!B80:B84,0),MATCH(AZ82,AGRUPAMENTO!C79:N79,0))</f>
        <v>#N/A</v>
      </c>
      <c r="BB82" s="174" t="s">
        <v>254</v>
      </c>
      <c r="BC82" s="176">
        <v>30</v>
      </c>
      <c r="BD82" s="172" t="e">
        <f>IF(BB82="SUBTERRÂNEA",IF(AV82="PVC",VLOOKUP(BC82,TEMPERATURA!G79:H93,2,0),VLOOKUP(BC82,TEMPERATURA!G79:I93,3,0)),IF(AV82="PVC",VLOOKUP(BC82,TEMPERATURA!B79:C93,2,0),VLOOKUP(BC82,TEMPERATURA!B79:D93,3,0)))</f>
        <v>#N/A</v>
      </c>
      <c r="BE82" s="102" t="str">
        <f t="shared" si="16"/>
        <v/>
      </c>
      <c r="BF82" s="108" t="str">
        <f t="shared" si="17"/>
        <v/>
      </c>
      <c r="BG82" s="102" t="e">
        <f t="shared" si="23"/>
        <v>#VALUE!</v>
      </c>
      <c r="BH82" s="108" t="str">
        <f t="shared" si="24"/>
        <v/>
      </c>
      <c r="BI82" s="173" t="str">
        <f>IF(AP82="","",
   IF(COUNTA(V82:AE82)&gt;=1,
      MAX(IFERROR(_xlfn.AGGREGATE(15,6,DISJUNTORES!$C$2:$C$100/(DISJUNTORES!$C$2:$C$100&gt;=BF82),1),""),25),
   IF(COUNTA(L82:U82)&gt;=1,
      MAX(IFERROR(_xlfn.AGGREGATE(15,6,DISJUNTORES!$C$2:$C$100/(DISJUNTORES!$C$2:$C$100&gt;=BF82),1),""),20),
   IF(COUNTA(A82:K82)&gt;=1,
      MAX(IFERROR(_xlfn.AGGREGATE(15,6,DISJUNTORES!$C$2:$C$100/(DISJUNTORES!$C$2:$C$100&gt;=BF82),1),""),16),
   IFERROR(_xlfn.AGGREGATE(15,6,DISJUNTORES!$C$2:$C$100/(DISJUNTORES!$C$2:$C$100&gt;=BF82),1),"")))))</f>
        <v/>
      </c>
      <c r="BJ82" s="107"/>
      <c r="BK82" s="107"/>
      <c r="BL82" s="107"/>
      <c r="BM82" s="109" t="str">
        <f t="shared" si="18"/>
        <v/>
      </c>
      <c r="BN82" s="109" t="str">
        <f t="shared" si="19"/>
        <v/>
      </c>
      <c r="BO82" s="109" t="str">
        <f t="shared" si="20"/>
        <v/>
      </c>
      <c r="BP82" s="104" t="str" cm="1">
        <f t="array" ref="BP82">IFERROR(
    INDEX(
        IF(AV82="PVC", 'CAP CONDUÇÃO 70º'!$A:$A, 'CAP CONDUÇÃO 90º'!$A:$A),
        IF(
            COUNTIF(
                IF(AV82="PVC",
                   CHOOSE(
                       MATCH(AU82,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MATCH(AU82,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BI82
            ) &gt; 0,
            MATCH(BI82,
                IF(AV82="PVC",
                   CHOOSE(
                       MATCH(AU82,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MATCH(AU82,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MATCH(BI82,
                IF(AV82="PVC",
                   CHOOSE(
                       MATCH(AU82,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MATCH(AU82,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82" s="166"/>
      <c r="BR82" s="166"/>
      <c r="BS82" s="165" t="str">
        <f ca="1">IFERROR(IF(BP82="","","3F#"&amp;BR82&amp;"mm²+N"&amp;VLOOKUP($BR$5,NEUTRO!$A:$B,2,0)&amp;"mm²+T"&amp;VLOOKUP($BR$5,TERRA!$A:$B,2,0)&amp;"mm²"),"")</f>
        <v/>
      </c>
      <c r="BT82" s="110"/>
      <c r="BU82" s="2"/>
    </row>
    <row r="83" spans="1:73" ht="36.5" hidden="1" thickBot="1" x14ac:dyDescent="0.4">
      <c r="A83" s="106">
        <v>79</v>
      </c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1" t="str">
        <f t="shared" si="21"/>
        <v/>
      </c>
      <c r="AQ83" s="108" t="str">
        <f t="shared" si="15"/>
        <v/>
      </c>
      <c r="AR83" s="109" t="str">
        <f t="shared" si="22"/>
        <v/>
      </c>
      <c r="AS83" s="107"/>
      <c r="AT83" s="170"/>
      <c r="AU83" s="107"/>
      <c r="AV83" s="107"/>
      <c r="AW83" s="107"/>
      <c r="AX83" s="107"/>
      <c r="AY83" s="172" t="s">
        <v>278</v>
      </c>
      <c r="AZ83" s="172" t="s">
        <v>262</v>
      </c>
      <c r="BA83" s="172" t="e">
        <f>INDEX(AGRUPAMENTO!C81:N85,MATCH(AY83,AGRUPAMENTO!B81:B85,0),MATCH(AZ83,AGRUPAMENTO!C80:N80,0))</f>
        <v>#N/A</v>
      </c>
      <c r="BB83" s="174" t="s">
        <v>254</v>
      </c>
      <c r="BC83" s="176">
        <v>30</v>
      </c>
      <c r="BD83" s="172" t="e">
        <f>IF(BB83="SUBTERRÂNEA",IF(AV83="PVC",VLOOKUP(BC83,TEMPERATURA!G80:H94,2,0),VLOOKUP(BC83,TEMPERATURA!G80:I94,3,0)),IF(AV83="PVC",VLOOKUP(BC83,TEMPERATURA!B80:C94,2,0),VLOOKUP(BC83,TEMPERATURA!B80:D94,3,0)))</f>
        <v>#N/A</v>
      </c>
      <c r="BE83" s="102" t="str">
        <f t="shared" si="16"/>
        <v/>
      </c>
      <c r="BF83" s="108" t="str">
        <f t="shared" si="17"/>
        <v/>
      </c>
      <c r="BG83" s="102" t="e">
        <f t="shared" si="23"/>
        <v>#VALUE!</v>
      </c>
      <c r="BH83" s="108" t="str">
        <f t="shared" si="24"/>
        <v/>
      </c>
      <c r="BI83" s="173" t="str">
        <f>IF(AP83="","",
   IF(COUNTA(V83:AE83)&gt;=1,
      MAX(IFERROR(_xlfn.AGGREGATE(15,6,DISJUNTORES!$C$2:$C$100/(DISJUNTORES!$C$2:$C$100&gt;=BF83),1),""),25),
   IF(COUNTA(L83:U83)&gt;=1,
      MAX(IFERROR(_xlfn.AGGREGATE(15,6,DISJUNTORES!$C$2:$C$100/(DISJUNTORES!$C$2:$C$100&gt;=BF83),1),""),20),
   IF(COUNTA(A83:K83)&gt;=1,
      MAX(IFERROR(_xlfn.AGGREGATE(15,6,DISJUNTORES!$C$2:$C$100/(DISJUNTORES!$C$2:$C$100&gt;=BF83),1),""),16),
   IFERROR(_xlfn.AGGREGATE(15,6,DISJUNTORES!$C$2:$C$100/(DISJUNTORES!$C$2:$C$100&gt;=BF83),1),"")))))</f>
        <v/>
      </c>
      <c r="BJ83" s="107"/>
      <c r="BK83" s="107"/>
      <c r="BL83" s="107"/>
      <c r="BM83" s="109" t="str">
        <f t="shared" si="18"/>
        <v/>
      </c>
      <c r="BN83" s="109" t="str">
        <f t="shared" si="19"/>
        <v/>
      </c>
      <c r="BO83" s="109" t="str">
        <f t="shared" si="20"/>
        <v/>
      </c>
      <c r="BP83" s="104" t="str" cm="1">
        <f t="array" ref="BP83">IFERROR(
    INDEX(
        IF(AV83="PVC", 'CAP CONDUÇÃO 70º'!$A:$A, 'CAP CONDUÇÃO 90º'!$A:$A),
        IF(
            COUNTIF(
                IF(AV83="PVC",
                   CHOOSE(
                       MATCH(AU83,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MATCH(AU83,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BI83
            ) &gt; 0,
            MATCH(BI83,
                IF(AV83="PVC",
                   CHOOSE(
                       MATCH(AU83,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MATCH(AU83,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MATCH(BI83,
                IF(AV83="PVC",
                   CHOOSE(
                       MATCH(AU83,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MATCH(AU83,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83" s="166"/>
      <c r="BR83" s="166"/>
      <c r="BS83" s="165" t="str">
        <f ca="1">IFERROR(IF(BP83="","","3F#"&amp;BR83&amp;"mm²+N"&amp;VLOOKUP($BR$5,NEUTRO!$A:$B,2,0)&amp;"mm²+T"&amp;VLOOKUP($BR$5,TERRA!$A:$B,2,0)&amp;"mm²"),"")</f>
        <v/>
      </c>
      <c r="BT83" s="110"/>
      <c r="BU83" s="2"/>
    </row>
    <row r="84" spans="1:73" ht="36.5" hidden="1" thickBot="1" x14ac:dyDescent="0.4">
      <c r="A84" s="106">
        <v>80</v>
      </c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1" t="str">
        <f t="shared" si="21"/>
        <v/>
      </c>
      <c r="AQ84" s="108" t="str">
        <f t="shared" si="15"/>
        <v/>
      </c>
      <c r="AR84" s="109" t="str">
        <f t="shared" si="22"/>
        <v/>
      </c>
      <c r="AS84" s="107"/>
      <c r="AT84" s="170"/>
      <c r="AU84" s="107"/>
      <c r="AV84" s="107"/>
      <c r="AW84" s="107"/>
      <c r="AX84" s="107"/>
      <c r="AY84" s="172" t="s">
        <v>278</v>
      </c>
      <c r="AZ84" s="172" t="s">
        <v>262</v>
      </c>
      <c r="BA84" s="172" t="e">
        <f>INDEX(AGRUPAMENTO!C82:N86,MATCH(AY84,AGRUPAMENTO!B82:B86,0),MATCH(AZ84,AGRUPAMENTO!C81:N81,0))</f>
        <v>#N/A</v>
      </c>
      <c r="BB84" s="174" t="s">
        <v>254</v>
      </c>
      <c r="BC84" s="176">
        <v>30</v>
      </c>
      <c r="BD84" s="172" t="e">
        <f>IF(BB84="SUBTERRÂNEA",IF(AV84="PVC",VLOOKUP(BC84,TEMPERATURA!G81:H95,2,0),VLOOKUP(BC84,TEMPERATURA!G81:I95,3,0)),IF(AV84="PVC",VLOOKUP(BC84,TEMPERATURA!B81:C95,2,0),VLOOKUP(BC84,TEMPERATURA!B81:D95,3,0)))</f>
        <v>#N/A</v>
      </c>
      <c r="BE84" s="102" t="str">
        <f t="shared" si="16"/>
        <v/>
      </c>
      <c r="BF84" s="108" t="str">
        <f t="shared" si="17"/>
        <v/>
      </c>
      <c r="BG84" s="102" t="e">
        <f t="shared" si="23"/>
        <v>#VALUE!</v>
      </c>
      <c r="BH84" s="108" t="str">
        <f t="shared" si="24"/>
        <v/>
      </c>
      <c r="BI84" s="173" t="str">
        <f>IF(AP84="","",
   IF(COUNTA(V84:AE84)&gt;=1,
      MAX(IFERROR(_xlfn.AGGREGATE(15,6,DISJUNTORES!$C$2:$C$100/(DISJUNTORES!$C$2:$C$100&gt;=BF84),1),""),25),
   IF(COUNTA(L84:U84)&gt;=1,
      MAX(IFERROR(_xlfn.AGGREGATE(15,6,DISJUNTORES!$C$2:$C$100/(DISJUNTORES!$C$2:$C$100&gt;=BF84),1),""),20),
   IF(COUNTA(A84:K84)&gt;=1,
      MAX(IFERROR(_xlfn.AGGREGATE(15,6,DISJUNTORES!$C$2:$C$100/(DISJUNTORES!$C$2:$C$100&gt;=BF84),1),""),16),
   IFERROR(_xlfn.AGGREGATE(15,6,DISJUNTORES!$C$2:$C$100/(DISJUNTORES!$C$2:$C$100&gt;=BF84),1),"")))))</f>
        <v/>
      </c>
      <c r="BJ84" s="107"/>
      <c r="BK84" s="107"/>
      <c r="BL84" s="107"/>
      <c r="BM84" s="109" t="str">
        <f t="shared" si="18"/>
        <v/>
      </c>
      <c r="BN84" s="109" t="str">
        <f t="shared" si="19"/>
        <v/>
      </c>
      <c r="BO84" s="109" t="str">
        <f t="shared" si="20"/>
        <v/>
      </c>
      <c r="BP84" s="104" t="str" cm="1">
        <f t="array" ref="BP84">IFERROR(
    INDEX(
        IF(AV84="PVC", 'CAP CONDUÇÃO 70º'!$A:$A, 'CAP CONDUÇÃO 90º'!$A:$A),
        IF(
            COUNTIF(
                IF(AV84="PVC",
                   CHOOSE(
                       MATCH(AU84,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MATCH(AU84,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BI84
            ) &gt; 0,
            MATCH(BI84,
                IF(AV84="PVC",
                   CHOOSE(
                       MATCH(AU84,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MATCH(AU84,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MATCH(BI84,
                IF(AV84="PVC",
                   CHOOSE(
                       MATCH(AU84,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MATCH(AU84,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84" s="166"/>
      <c r="BR84" s="166"/>
      <c r="BS84" s="165" t="str">
        <f ca="1">IFERROR(IF(BP84="","","3F#"&amp;BR84&amp;"mm²+N"&amp;VLOOKUP($BR$5,NEUTRO!$A:$B,2,0)&amp;"mm²+T"&amp;VLOOKUP($BR$5,TERRA!$A:$B,2,0)&amp;"mm²"),"")</f>
        <v/>
      </c>
      <c r="BT84" s="110"/>
      <c r="BU84" s="2"/>
    </row>
    <row r="85" spans="1:73" ht="36.5" hidden="1" thickBot="1" x14ac:dyDescent="0.4">
      <c r="A85" s="106">
        <v>81</v>
      </c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  <c r="AI85" s="107"/>
      <c r="AJ85" s="107"/>
      <c r="AK85" s="107"/>
      <c r="AL85" s="107"/>
      <c r="AM85" s="107"/>
      <c r="AN85" s="107"/>
      <c r="AO85" s="107"/>
      <c r="AP85" s="101" t="str">
        <f t="shared" si="21"/>
        <v/>
      </c>
      <c r="AQ85" s="108" t="str">
        <f t="shared" si="15"/>
        <v/>
      </c>
      <c r="AR85" s="109" t="str">
        <f t="shared" si="22"/>
        <v/>
      </c>
      <c r="AS85" s="107"/>
      <c r="AT85" s="170"/>
      <c r="AU85" s="107"/>
      <c r="AV85" s="107"/>
      <c r="AW85" s="107"/>
      <c r="AX85" s="107"/>
      <c r="AY85" s="172" t="s">
        <v>278</v>
      </c>
      <c r="AZ85" s="172" t="s">
        <v>262</v>
      </c>
      <c r="BA85" s="172" t="e">
        <f>INDEX(AGRUPAMENTO!C83:N87,MATCH(AY85,AGRUPAMENTO!B83:B87,0),MATCH(AZ85,AGRUPAMENTO!C82:N82,0))</f>
        <v>#N/A</v>
      </c>
      <c r="BB85" s="174" t="s">
        <v>254</v>
      </c>
      <c r="BC85" s="176">
        <v>30</v>
      </c>
      <c r="BD85" s="172" t="e">
        <f>IF(BB85="SUBTERRÂNEA",IF(AV85="PVC",VLOOKUP(BC85,TEMPERATURA!G82:H96,2,0),VLOOKUP(BC85,TEMPERATURA!G82:I96,3,0)),IF(AV85="PVC",VLOOKUP(BC85,TEMPERATURA!B82:C96,2,0),VLOOKUP(BC85,TEMPERATURA!B82:D96,3,0)))</f>
        <v>#N/A</v>
      </c>
      <c r="BE85" s="102" t="str">
        <f t="shared" si="16"/>
        <v/>
      </c>
      <c r="BF85" s="108" t="str">
        <f t="shared" si="17"/>
        <v/>
      </c>
      <c r="BG85" s="102" t="e">
        <f t="shared" si="23"/>
        <v>#VALUE!</v>
      </c>
      <c r="BH85" s="108" t="str">
        <f t="shared" si="24"/>
        <v/>
      </c>
      <c r="BI85" s="173" t="str">
        <f>IF(AP85="","",
   IF(COUNTA(V85:AE85)&gt;=1,
      MAX(IFERROR(_xlfn.AGGREGATE(15,6,DISJUNTORES!$C$2:$C$100/(DISJUNTORES!$C$2:$C$100&gt;=BF85),1),""),25),
   IF(COUNTA(L85:U85)&gt;=1,
      MAX(IFERROR(_xlfn.AGGREGATE(15,6,DISJUNTORES!$C$2:$C$100/(DISJUNTORES!$C$2:$C$100&gt;=BF85),1),""),20),
   IF(COUNTA(A85:K85)&gt;=1,
      MAX(IFERROR(_xlfn.AGGREGATE(15,6,DISJUNTORES!$C$2:$C$100/(DISJUNTORES!$C$2:$C$100&gt;=BF85),1),""),16),
   IFERROR(_xlfn.AGGREGATE(15,6,DISJUNTORES!$C$2:$C$100/(DISJUNTORES!$C$2:$C$100&gt;=BF85),1),"")))))</f>
        <v/>
      </c>
      <c r="BJ85" s="107"/>
      <c r="BK85" s="107"/>
      <c r="BL85" s="107"/>
      <c r="BM85" s="109" t="str">
        <f t="shared" si="18"/>
        <v/>
      </c>
      <c r="BN85" s="109" t="str">
        <f t="shared" si="19"/>
        <v/>
      </c>
      <c r="BO85" s="109" t="str">
        <f t="shared" si="20"/>
        <v/>
      </c>
      <c r="BP85" s="104" t="str" cm="1">
        <f t="array" ref="BP85">IFERROR(
    INDEX(
        IF(AV85="PVC", 'CAP CONDUÇÃO 70º'!$A:$A, 'CAP CONDUÇÃO 90º'!$A:$A),
        IF(
            COUNTIF(
                IF(AV85="PVC",
                   CHOOSE(
                       MATCH(AU85,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MATCH(AU85,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BI85
            ) &gt; 0,
            MATCH(BI85,
                IF(AV85="PVC",
                   CHOOSE(
                       MATCH(AU85,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MATCH(AU85,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MATCH(BI85,
                IF(AV85="PVC",
                   CHOOSE(
                       MATCH(AU85,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MATCH(AU85,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85" s="166"/>
      <c r="BR85" s="166"/>
      <c r="BS85" s="165" t="str">
        <f ca="1">IFERROR(IF(BP85="","","3F#"&amp;BR85&amp;"mm²+N"&amp;VLOOKUP($BR$5,NEUTRO!$A:$B,2,0)&amp;"mm²+T"&amp;VLOOKUP($BR$5,TERRA!$A:$B,2,0)&amp;"mm²"),"")</f>
        <v/>
      </c>
      <c r="BT85" s="110"/>
      <c r="BU85" s="2"/>
    </row>
    <row r="86" spans="1:73" ht="36.5" hidden="1" thickBot="1" x14ac:dyDescent="0.4">
      <c r="A86" s="106">
        <v>82</v>
      </c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7"/>
      <c r="AL86" s="107"/>
      <c r="AM86" s="107"/>
      <c r="AN86" s="107"/>
      <c r="AO86" s="107"/>
      <c r="AP86" s="101" t="str">
        <f t="shared" si="21"/>
        <v/>
      </c>
      <c r="AQ86" s="108" t="str">
        <f t="shared" si="15"/>
        <v/>
      </c>
      <c r="AR86" s="109" t="str">
        <f t="shared" si="22"/>
        <v/>
      </c>
      <c r="AS86" s="107"/>
      <c r="AT86" s="170"/>
      <c r="AU86" s="107"/>
      <c r="AV86" s="107"/>
      <c r="AW86" s="107"/>
      <c r="AX86" s="107"/>
      <c r="AY86" s="172" t="s">
        <v>278</v>
      </c>
      <c r="AZ86" s="172" t="s">
        <v>262</v>
      </c>
      <c r="BA86" s="172" t="e">
        <f>INDEX(AGRUPAMENTO!C84:N88,MATCH(AY86,AGRUPAMENTO!B84:B88,0),MATCH(AZ86,AGRUPAMENTO!C83:N83,0))</f>
        <v>#N/A</v>
      </c>
      <c r="BB86" s="174" t="s">
        <v>254</v>
      </c>
      <c r="BC86" s="176">
        <v>30</v>
      </c>
      <c r="BD86" s="172" t="e">
        <f>IF(BB86="SUBTERRÂNEA",IF(AV86="PVC",VLOOKUP(BC86,TEMPERATURA!G83:H97,2,0),VLOOKUP(BC86,TEMPERATURA!G83:I97,3,0)),IF(AV86="PVC",VLOOKUP(BC86,TEMPERATURA!B83:C97,2,0),VLOOKUP(BC86,TEMPERATURA!B83:D97,3,0)))</f>
        <v>#N/A</v>
      </c>
      <c r="BE86" s="102" t="str">
        <f t="shared" si="16"/>
        <v/>
      </c>
      <c r="BF86" s="108" t="str">
        <f t="shared" si="17"/>
        <v/>
      </c>
      <c r="BG86" s="102" t="e">
        <f t="shared" si="23"/>
        <v>#VALUE!</v>
      </c>
      <c r="BH86" s="108" t="str">
        <f t="shared" si="24"/>
        <v/>
      </c>
      <c r="BI86" s="173" t="str">
        <f>IF(AP86="","",
   IF(COUNTA(V86:AE86)&gt;=1,
      MAX(IFERROR(_xlfn.AGGREGATE(15,6,DISJUNTORES!$C$2:$C$100/(DISJUNTORES!$C$2:$C$100&gt;=BF86),1),""),25),
   IF(COUNTA(L86:U86)&gt;=1,
      MAX(IFERROR(_xlfn.AGGREGATE(15,6,DISJUNTORES!$C$2:$C$100/(DISJUNTORES!$C$2:$C$100&gt;=BF86),1),""),20),
   IF(COUNTA(A86:K86)&gt;=1,
      MAX(IFERROR(_xlfn.AGGREGATE(15,6,DISJUNTORES!$C$2:$C$100/(DISJUNTORES!$C$2:$C$100&gt;=BF86),1),""),16),
   IFERROR(_xlfn.AGGREGATE(15,6,DISJUNTORES!$C$2:$C$100/(DISJUNTORES!$C$2:$C$100&gt;=BF86),1),"")))))</f>
        <v/>
      </c>
      <c r="BJ86" s="107"/>
      <c r="BK86" s="107"/>
      <c r="BL86" s="107"/>
      <c r="BM86" s="109" t="str">
        <f t="shared" si="18"/>
        <v/>
      </c>
      <c r="BN86" s="109" t="str">
        <f t="shared" si="19"/>
        <v/>
      </c>
      <c r="BO86" s="109" t="str">
        <f t="shared" si="20"/>
        <v/>
      </c>
      <c r="BP86" s="104" t="str" cm="1">
        <f t="array" ref="BP86">IFERROR(
    INDEX(
        IF(AV86="PVC", 'CAP CONDUÇÃO 70º'!$A:$A, 'CAP CONDUÇÃO 90º'!$A:$A),
        IF(
            COUNTIF(
                IF(AV86="PVC",
                   CHOOSE(
                       MATCH(AU86,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MATCH(AU86,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BI86
            ) &gt; 0,
            MATCH(BI86,
                IF(AV86="PVC",
                   CHOOSE(
                       MATCH(AU86,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MATCH(AU86,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MATCH(BI86,
                IF(AV86="PVC",
                   CHOOSE(
                       MATCH(AU86,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MATCH(AU86,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86" s="166"/>
      <c r="BR86" s="166"/>
      <c r="BS86" s="165" t="str">
        <f ca="1">IFERROR(IF(BP86="","","3F#"&amp;BR86&amp;"mm²+N"&amp;VLOOKUP($BR$5,NEUTRO!$A:$B,2,0)&amp;"mm²+T"&amp;VLOOKUP($BR$5,TERRA!$A:$B,2,0)&amp;"mm²"),"")</f>
        <v/>
      </c>
      <c r="BT86" s="110"/>
      <c r="BU86" s="2"/>
    </row>
    <row r="87" spans="1:73" ht="36.5" hidden="1" thickBot="1" x14ac:dyDescent="0.4">
      <c r="A87" s="106">
        <v>83</v>
      </c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  <c r="AI87" s="107"/>
      <c r="AJ87" s="107"/>
      <c r="AK87" s="107"/>
      <c r="AL87" s="107"/>
      <c r="AM87" s="107"/>
      <c r="AN87" s="107"/>
      <c r="AO87" s="107"/>
      <c r="AP87" s="101" t="str">
        <f t="shared" si="21"/>
        <v/>
      </c>
      <c r="AQ87" s="108" t="str">
        <f t="shared" si="15"/>
        <v/>
      </c>
      <c r="AR87" s="109" t="str">
        <f t="shared" si="22"/>
        <v/>
      </c>
      <c r="AS87" s="107"/>
      <c r="AT87" s="170"/>
      <c r="AU87" s="107"/>
      <c r="AV87" s="107"/>
      <c r="AW87" s="107"/>
      <c r="AX87" s="107"/>
      <c r="AY87" s="172" t="s">
        <v>278</v>
      </c>
      <c r="AZ87" s="172" t="s">
        <v>262</v>
      </c>
      <c r="BA87" s="172" t="e">
        <f>INDEX(AGRUPAMENTO!C85:N89,MATCH(AY87,AGRUPAMENTO!B85:B89,0),MATCH(AZ87,AGRUPAMENTO!C84:N84,0))</f>
        <v>#N/A</v>
      </c>
      <c r="BB87" s="174" t="s">
        <v>254</v>
      </c>
      <c r="BC87" s="176">
        <v>30</v>
      </c>
      <c r="BD87" s="172" t="e">
        <f>IF(BB87="SUBTERRÂNEA",IF(AV87="PVC",VLOOKUP(BC87,TEMPERATURA!G84:H98,2,0),VLOOKUP(BC87,TEMPERATURA!G84:I98,3,0)),IF(AV87="PVC",VLOOKUP(BC87,TEMPERATURA!B84:C98,2,0),VLOOKUP(BC87,TEMPERATURA!B84:D98,3,0)))</f>
        <v>#N/A</v>
      </c>
      <c r="BE87" s="102" t="str">
        <f t="shared" si="16"/>
        <v/>
      </c>
      <c r="BF87" s="108" t="str">
        <f t="shared" si="17"/>
        <v/>
      </c>
      <c r="BG87" s="102" t="e">
        <f t="shared" si="23"/>
        <v>#VALUE!</v>
      </c>
      <c r="BH87" s="108" t="str">
        <f t="shared" si="24"/>
        <v/>
      </c>
      <c r="BI87" s="173" t="str">
        <f>IF(AP87="","",
   IF(COUNTA(V87:AE87)&gt;=1,
      MAX(IFERROR(_xlfn.AGGREGATE(15,6,DISJUNTORES!$C$2:$C$100/(DISJUNTORES!$C$2:$C$100&gt;=BF87),1),""),25),
   IF(COUNTA(L87:U87)&gt;=1,
      MAX(IFERROR(_xlfn.AGGREGATE(15,6,DISJUNTORES!$C$2:$C$100/(DISJUNTORES!$C$2:$C$100&gt;=BF87),1),""),20),
   IF(COUNTA(A87:K87)&gt;=1,
      MAX(IFERROR(_xlfn.AGGREGATE(15,6,DISJUNTORES!$C$2:$C$100/(DISJUNTORES!$C$2:$C$100&gt;=BF87),1),""),16),
   IFERROR(_xlfn.AGGREGATE(15,6,DISJUNTORES!$C$2:$C$100/(DISJUNTORES!$C$2:$C$100&gt;=BF87),1),"")))))</f>
        <v/>
      </c>
      <c r="BJ87" s="107"/>
      <c r="BK87" s="107"/>
      <c r="BL87" s="107"/>
      <c r="BM87" s="109" t="str">
        <f t="shared" si="18"/>
        <v/>
      </c>
      <c r="BN87" s="109" t="str">
        <f t="shared" si="19"/>
        <v/>
      </c>
      <c r="BO87" s="109" t="str">
        <f t="shared" si="20"/>
        <v/>
      </c>
      <c r="BP87" s="104" t="str" cm="1">
        <f t="array" ref="BP87">IFERROR(
    INDEX(
        IF(AV87="PVC", 'CAP CONDUÇÃO 70º'!$A:$A, 'CAP CONDUÇÃO 90º'!$A:$A),
        IF(
            COUNTIF(
                IF(AV87="PVC",
                   CHOOSE(
                       MATCH(AU87,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MATCH(AU87,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BI87
            ) &gt; 0,
            MATCH(BI87,
                IF(AV87="PVC",
                   CHOOSE(
                       MATCH(AU87,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MATCH(AU87,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MATCH(BI87,
                IF(AV87="PVC",
                   CHOOSE(
                       MATCH(AU87,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MATCH(AU87,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87" s="166"/>
      <c r="BR87" s="166"/>
      <c r="BS87" s="165" t="str">
        <f ca="1">IFERROR(IF(BP87="","","3F#"&amp;BR87&amp;"mm²+N"&amp;VLOOKUP($BR$5,NEUTRO!$A:$B,2,0)&amp;"mm²+T"&amp;VLOOKUP($BR$5,TERRA!$A:$B,2,0)&amp;"mm²"),"")</f>
        <v/>
      </c>
      <c r="BT87" s="110"/>
      <c r="BU87" s="2"/>
    </row>
    <row r="88" spans="1:73" ht="36.5" hidden="1" thickBot="1" x14ac:dyDescent="0.4">
      <c r="A88" s="106">
        <v>84</v>
      </c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  <c r="AH88" s="107"/>
      <c r="AI88" s="107"/>
      <c r="AJ88" s="107"/>
      <c r="AK88" s="107"/>
      <c r="AL88" s="107"/>
      <c r="AM88" s="107"/>
      <c r="AN88" s="107"/>
      <c r="AO88" s="107"/>
      <c r="AP88" s="101" t="str">
        <f t="shared" si="21"/>
        <v/>
      </c>
      <c r="AQ88" s="108" t="str">
        <f t="shared" si="15"/>
        <v/>
      </c>
      <c r="AR88" s="109" t="str">
        <f t="shared" si="22"/>
        <v/>
      </c>
      <c r="AS88" s="107"/>
      <c r="AT88" s="170"/>
      <c r="AU88" s="107"/>
      <c r="AV88" s="107"/>
      <c r="AW88" s="107"/>
      <c r="AX88" s="107"/>
      <c r="AY88" s="172" t="s">
        <v>278</v>
      </c>
      <c r="AZ88" s="172" t="s">
        <v>262</v>
      </c>
      <c r="BA88" s="172" t="e">
        <f>INDEX(AGRUPAMENTO!C86:N90,MATCH(AY88,AGRUPAMENTO!B86:B90,0),MATCH(AZ88,AGRUPAMENTO!C85:N85,0))</f>
        <v>#N/A</v>
      </c>
      <c r="BB88" s="174" t="s">
        <v>254</v>
      </c>
      <c r="BC88" s="176">
        <v>30</v>
      </c>
      <c r="BD88" s="172" t="e">
        <f>IF(BB88="SUBTERRÂNEA",IF(AV88="PVC",VLOOKUP(BC88,TEMPERATURA!G85:H99,2,0),VLOOKUP(BC88,TEMPERATURA!G85:I99,3,0)),IF(AV88="PVC",VLOOKUP(BC88,TEMPERATURA!B85:C99,2,0),VLOOKUP(BC88,TEMPERATURA!B85:D99,3,0)))</f>
        <v>#N/A</v>
      </c>
      <c r="BE88" s="102" t="str">
        <f t="shared" si="16"/>
        <v/>
      </c>
      <c r="BF88" s="108" t="str">
        <f t="shared" si="17"/>
        <v/>
      </c>
      <c r="BG88" s="102" t="e">
        <f t="shared" si="23"/>
        <v>#VALUE!</v>
      </c>
      <c r="BH88" s="108" t="str">
        <f t="shared" si="24"/>
        <v/>
      </c>
      <c r="BI88" s="173" t="str">
        <f>IF(AP88="","",
   IF(COUNTA(V88:AE88)&gt;=1,
      MAX(IFERROR(_xlfn.AGGREGATE(15,6,DISJUNTORES!$C$2:$C$100/(DISJUNTORES!$C$2:$C$100&gt;=BF88),1),""),25),
   IF(COUNTA(L88:U88)&gt;=1,
      MAX(IFERROR(_xlfn.AGGREGATE(15,6,DISJUNTORES!$C$2:$C$100/(DISJUNTORES!$C$2:$C$100&gt;=BF88),1),""),20),
   IF(COUNTA(A88:K88)&gt;=1,
      MAX(IFERROR(_xlfn.AGGREGATE(15,6,DISJUNTORES!$C$2:$C$100/(DISJUNTORES!$C$2:$C$100&gt;=BF88),1),""),16),
   IFERROR(_xlfn.AGGREGATE(15,6,DISJUNTORES!$C$2:$C$100/(DISJUNTORES!$C$2:$C$100&gt;=BF88),1),"")))))</f>
        <v/>
      </c>
      <c r="BJ88" s="107"/>
      <c r="BK88" s="107"/>
      <c r="BL88" s="107"/>
      <c r="BM88" s="109" t="str">
        <f t="shared" si="18"/>
        <v/>
      </c>
      <c r="BN88" s="109" t="str">
        <f t="shared" si="19"/>
        <v/>
      </c>
      <c r="BO88" s="109" t="str">
        <f t="shared" si="20"/>
        <v/>
      </c>
      <c r="BP88" s="104" t="str" cm="1">
        <f t="array" ref="BP88">IFERROR(
    INDEX(
        IF(AV88="PVC", 'CAP CONDUÇÃO 70º'!$A:$A, 'CAP CONDUÇÃO 90º'!$A:$A),
        IF(
            COUNTIF(
                IF(AV88="PVC",
                   CHOOSE(
                       MATCH(AU88,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MATCH(AU88,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BI88
            ) &gt; 0,
            MATCH(BI88,
                IF(AV88="PVC",
                   CHOOSE(
                       MATCH(AU88,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MATCH(AU88,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MATCH(BI88,
                IF(AV88="PVC",
                   CHOOSE(
                       MATCH(AU88,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MATCH(AU88,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88" s="166"/>
      <c r="BR88" s="166"/>
      <c r="BS88" s="165" t="str">
        <f ca="1">IFERROR(IF(BP88="","","3F#"&amp;BR88&amp;"mm²+N"&amp;VLOOKUP($BR$5,NEUTRO!$A:$B,2,0)&amp;"mm²+T"&amp;VLOOKUP($BR$5,TERRA!$A:$B,2,0)&amp;"mm²"),"")</f>
        <v/>
      </c>
      <c r="BT88" s="110"/>
      <c r="BU88" s="2"/>
    </row>
    <row r="89" spans="1:73" ht="36.5" hidden="1" thickBot="1" x14ac:dyDescent="0.4">
      <c r="A89" s="106">
        <v>85</v>
      </c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7"/>
      <c r="AH89" s="107"/>
      <c r="AI89" s="107"/>
      <c r="AJ89" s="107"/>
      <c r="AK89" s="107"/>
      <c r="AL89" s="107"/>
      <c r="AM89" s="107"/>
      <c r="AN89" s="107"/>
      <c r="AO89" s="107"/>
      <c r="AP89" s="101" t="str">
        <f t="shared" si="21"/>
        <v/>
      </c>
      <c r="AQ89" s="108" t="str">
        <f t="shared" si="15"/>
        <v/>
      </c>
      <c r="AR89" s="109" t="str">
        <f t="shared" si="22"/>
        <v/>
      </c>
      <c r="AS89" s="107"/>
      <c r="AT89" s="170"/>
      <c r="AU89" s="107"/>
      <c r="AV89" s="107"/>
      <c r="AW89" s="107"/>
      <c r="AX89" s="107"/>
      <c r="AY89" s="172" t="s">
        <v>278</v>
      </c>
      <c r="AZ89" s="172" t="s">
        <v>262</v>
      </c>
      <c r="BA89" s="172" t="e">
        <f>INDEX(AGRUPAMENTO!C87:N91,MATCH(AY89,AGRUPAMENTO!B87:B91,0),MATCH(AZ89,AGRUPAMENTO!C86:N86,0))</f>
        <v>#N/A</v>
      </c>
      <c r="BB89" s="174" t="s">
        <v>254</v>
      </c>
      <c r="BC89" s="176">
        <v>30</v>
      </c>
      <c r="BD89" s="172" t="e">
        <f>IF(BB89="SUBTERRÂNEA",IF(AV89="PVC",VLOOKUP(BC89,TEMPERATURA!G86:H100,2,0),VLOOKUP(BC89,TEMPERATURA!G86:I100,3,0)),IF(AV89="PVC",VLOOKUP(BC89,TEMPERATURA!B86:C100,2,0),VLOOKUP(BC89,TEMPERATURA!B86:D100,3,0)))</f>
        <v>#N/A</v>
      </c>
      <c r="BE89" s="102" t="str">
        <f t="shared" si="16"/>
        <v/>
      </c>
      <c r="BF89" s="108" t="str">
        <f t="shared" si="17"/>
        <v/>
      </c>
      <c r="BG89" s="102" t="e">
        <f t="shared" si="23"/>
        <v>#VALUE!</v>
      </c>
      <c r="BH89" s="108" t="str">
        <f t="shared" si="24"/>
        <v/>
      </c>
      <c r="BI89" s="173" t="str">
        <f>IF(AP89="","",
   IF(COUNTA(V89:AE89)&gt;=1,
      MAX(IFERROR(_xlfn.AGGREGATE(15,6,DISJUNTORES!$C$2:$C$100/(DISJUNTORES!$C$2:$C$100&gt;=BF89),1),""),25),
   IF(COUNTA(L89:U89)&gt;=1,
      MAX(IFERROR(_xlfn.AGGREGATE(15,6,DISJUNTORES!$C$2:$C$100/(DISJUNTORES!$C$2:$C$100&gt;=BF89),1),""),20),
   IF(COUNTA(A89:K89)&gt;=1,
      MAX(IFERROR(_xlfn.AGGREGATE(15,6,DISJUNTORES!$C$2:$C$100/(DISJUNTORES!$C$2:$C$100&gt;=BF89),1),""),16),
   IFERROR(_xlfn.AGGREGATE(15,6,DISJUNTORES!$C$2:$C$100/(DISJUNTORES!$C$2:$C$100&gt;=BF89),1),"")))))</f>
        <v/>
      </c>
      <c r="BJ89" s="107"/>
      <c r="BK89" s="107"/>
      <c r="BL89" s="107"/>
      <c r="BM89" s="109" t="str">
        <f t="shared" si="18"/>
        <v/>
      </c>
      <c r="BN89" s="109" t="str">
        <f t="shared" si="19"/>
        <v/>
      </c>
      <c r="BO89" s="109" t="str">
        <f t="shared" si="20"/>
        <v/>
      </c>
      <c r="BP89" s="104" t="str" cm="1">
        <f t="array" ref="BP89">IFERROR(
    INDEX(
        IF(AV89="PVC", 'CAP CONDUÇÃO 70º'!$A:$A, 'CAP CONDUÇÃO 90º'!$A:$A),
        IF(
            COUNTIF(
                IF(AV89="PVC",
                   CHOOSE(
                       MATCH(AU89,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MATCH(AU89,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BI89
            ) &gt; 0,
            MATCH(BI89,
                IF(AV89="PVC",
                   CHOOSE(
                       MATCH(AU89,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MATCH(AU89,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MATCH(BI89,
                IF(AV89="PVC",
                   CHOOSE(
                       MATCH(AU89,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MATCH(AU89,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89" s="166"/>
      <c r="BR89" s="166"/>
      <c r="BS89" s="165" t="str">
        <f ca="1">IFERROR(IF(BP89="","","3F#"&amp;BR89&amp;"mm²+N"&amp;VLOOKUP($BR$5,NEUTRO!$A:$B,2,0)&amp;"mm²+T"&amp;VLOOKUP($BR$5,TERRA!$A:$B,2,0)&amp;"mm²"),"")</f>
        <v/>
      </c>
      <c r="BT89" s="110"/>
      <c r="BU89" s="2"/>
    </row>
    <row r="90" spans="1:73" ht="36.5" hidden="1" thickBot="1" x14ac:dyDescent="0.4">
      <c r="A90" s="106">
        <v>86</v>
      </c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  <c r="AF90" s="107"/>
      <c r="AG90" s="107"/>
      <c r="AH90" s="107"/>
      <c r="AI90" s="107"/>
      <c r="AJ90" s="107"/>
      <c r="AK90" s="107"/>
      <c r="AL90" s="107"/>
      <c r="AM90" s="107"/>
      <c r="AN90" s="107"/>
      <c r="AO90" s="107"/>
      <c r="AP90" s="101" t="str">
        <f t="shared" si="21"/>
        <v/>
      </c>
      <c r="AQ90" s="108" t="str">
        <f t="shared" si="15"/>
        <v/>
      </c>
      <c r="AR90" s="109" t="str">
        <f t="shared" si="22"/>
        <v/>
      </c>
      <c r="AS90" s="107"/>
      <c r="AT90" s="170"/>
      <c r="AU90" s="107"/>
      <c r="AV90" s="107"/>
      <c r="AW90" s="107"/>
      <c r="AX90" s="107"/>
      <c r="AY90" s="172" t="s">
        <v>278</v>
      </c>
      <c r="AZ90" s="172" t="s">
        <v>262</v>
      </c>
      <c r="BA90" s="172" t="e">
        <f>INDEX(AGRUPAMENTO!C88:N92,MATCH(AY90,AGRUPAMENTO!B88:B92,0),MATCH(AZ90,AGRUPAMENTO!C87:N87,0))</f>
        <v>#N/A</v>
      </c>
      <c r="BB90" s="174" t="s">
        <v>254</v>
      </c>
      <c r="BC90" s="176">
        <v>30</v>
      </c>
      <c r="BD90" s="172" t="e">
        <f>IF(BB90="SUBTERRÂNEA",IF(AV90="PVC",VLOOKUP(BC90,TEMPERATURA!G87:H101,2,0),VLOOKUP(BC90,TEMPERATURA!G87:I101,3,0)),IF(AV90="PVC",VLOOKUP(BC90,TEMPERATURA!B87:C101,2,0),VLOOKUP(BC90,TEMPERATURA!B87:D101,3,0)))</f>
        <v>#N/A</v>
      </c>
      <c r="BE90" s="102" t="str">
        <f t="shared" si="16"/>
        <v/>
      </c>
      <c r="BF90" s="108" t="str">
        <f t="shared" si="17"/>
        <v/>
      </c>
      <c r="BG90" s="102" t="e">
        <f t="shared" si="23"/>
        <v>#VALUE!</v>
      </c>
      <c r="BH90" s="108" t="str">
        <f t="shared" si="24"/>
        <v/>
      </c>
      <c r="BI90" s="173" t="str">
        <f>IF(AP90="","",
   IF(COUNTA(V90:AE90)&gt;=1,
      MAX(IFERROR(_xlfn.AGGREGATE(15,6,DISJUNTORES!$C$2:$C$100/(DISJUNTORES!$C$2:$C$100&gt;=BF90),1),""),25),
   IF(COUNTA(L90:U90)&gt;=1,
      MAX(IFERROR(_xlfn.AGGREGATE(15,6,DISJUNTORES!$C$2:$C$100/(DISJUNTORES!$C$2:$C$100&gt;=BF90),1),""),20),
   IF(COUNTA(A90:K90)&gt;=1,
      MAX(IFERROR(_xlfn.AGGREGATE(15,6,DISJUNTORES!$C$2:$C$100/(DISJUNTORES!$C$2:$C$100&gt;=BF90),1),""),16),
   IFERROR(_xlfn.AGGREGATE(15,6,DISJUNTORES!$C$2:$C$100/(DISJUNTORES!$C$2:$C$100&gt;=BF90),1),"")))))</f>
        <v/>
      </c>
      <c r="BJ90" s="107"/>
      <c r="BK90" s="107"/>
      <c r="BL90" s="107"/>
      <c r="BM90" s="109" t="str">
        <f t="shared" si="18"/>
        <v/>
      </c>
      <c r="BN90" s="109" t="str">
        <f t="shared" si="19"/>
        <v/>
      </c>
      <c r="BO90" s="109" t="str">
        <f t="shared" si="20"/>
        <v/>
      </c>
      <c r="BP90" s="104" t="str" cm="1">
        <f t="array" ref="BP90">IFERROR(
    INDEX(
        IF(AV90="PVC", 'CAP CONDUÇÃO 70º'!$A:$A, 'CAP CONDUÇÃO 90º'!$A:$A),
        IF(
            COUNTIF(
                IF(AV90="PVC",
                   CHOOSE(
                       MATCH(AU90,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MATCH(AU90,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BI90
            ) &gt; 0,
            MATCH(BI90,
                IF(AV90="PVC",
                   CHOOSE(
                       MATCH(AU90,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MATCH(AU90,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MATCH(BI90,
                IF(AV90="PVC",
                   CHOOSE(
                       MATCH(AU90,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MATCH(AU90,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90" s="166"/>
      <c r="BR90" s="166"/>
      <c r="BS90" s="165" t="str">
        <f ca="1">IFERROR(IF(BP90="","","3F#"&amp;BR90&amp;"mm²+N"&amp;VLOOKUP($BR$5,NEUTRO!$A:$B,2,0)&amp;"mm²+T"&amp;VLOOKUP($BR$5,TERRA!$A:$B,2,0)&amp;"mm²"),"")</f>
        <v/>
      </c>
      <c r="BT90" s="110"/>
      <c r="BU90" s="2"/>
    </row>
    <row r="91" spans="1:73" ht="36.5" hidden="1" thickBot="1" x14ac:dyDescent="0.4">
      <c r="A91" s="106">
        <v>87</v>
      </c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7"/>
      <c r="AG91" s="107"/>
      <c r="AH91" s="107"/>
      <c r="AI91" s="107"/>
      <c r="AJ91" s="107"/>
      <c r="AK91" s="107"/>
      <c r="AL91" s="107"/>
      <c r="AM91" s="107"/>
      <c r="AN91" s="107"/>
      <c r="AO91" s="107"/>
      <c r="AP91" s="101" t="str">
        <f t="shared" si="21"/>
        <v/>
      </c>
      <c r="AQ91" s="108" t="str">
        <f t="shared" si="15"/>
        <v/>
      </c>
      <c r="AR91" s="109" t="str">
        <f t="shared" si="22"/>
        <v/>
      </c>
      <c r="AS91" s="107"/>
      <c r="AT91" s="170"/>
      <c r="AU91" s="107"/>
      <c r="AV91" s="107"/>
      <c r="AW91" s="107"/>
      <c r="AX91" s="107"/>
      <c r="AY91" s="172" t="s">
        <v>278</v>
      </c>
      <c r="AZ91" s="172" t="s">
        <v>262</v>
      </c>
      <c r="BA91" s="172" t="e">
        <f>INDEX(AGRUPAMENTO!C89:N93,MATCH(AY91,AGRUPAMENTO!B89:B93,0),MATCH(AZ91,AGRUPAMENTO!C88:N88,0))</f>
        <v>#N/A</v>
      </c>
      <c r="BB91" s="174" t="s">
        <v>254</v>
      </c>
      <c r="BC91" s="176">
        <v>30</v>
      </c>
      <c r="BD91" s="172" t="e">
        <f>IF(BB91="SUBTERRÂNEA",IF(AV91="PVC",VLOOKUP(BC91,TEMPERATURA!G88:H102,2,0),VLOOKUP(BC91,TEMPERATURA!G88:I102,3,0)),IF(AV91="PVC",VLOOKUP(BC91,TEMPERATURA!B88:C102,2,0),VLOOKUP(BC91,TEMPERATURA!B88:D102,3,0)))</f>
        <v>#N/A</v>
      </c>
      <c r="BE91" s="102" t="str">
        <f t="shared" si="16"/>
        <v/>
      </c>
      <c r="BF91" s="108" t="str">
        <f t="shared" si="17"/>
        <v/>
      </c>
      <c r="BG91" s="102" t="e">
        <f t="shared" si="23"/>
        <v>#VALUE!</v>
      </c>
      <c r="BH91" s="108" t="str">
        <f t="shared" si="24"/>
        <v/>
      </c>
      <c r="BI91" s="173" t="str">
        <f>IF(AP91="","",
   IF(COUNTA(V91:AE91)&gt;=1,
      MAX(IFERROR(_xlfn.AGGREGATE(15,6,DISJUNTORES!$C$2:$C$100/(DISJUNTORES!$C$2:$C$100&gt;=BF91),1),""),25),
   IF(COUNTA(L91:U91)&gt;=1,
      MAX(IFERROR(_xlfn.AGGREGATE(15,6,DISJUNTORES!$C$2:$C$100/(DISJUNTORES!$C$2:$C$100&gt;=BF91),1),""),20),
   IF(COUNTA(A91:K91)&gt;=1,
      MAX(IFERROR(_xlfn.AGGREGATE(15,6,DISJUNTORES!$C$2:$C$100/(DISJUNTORES!$C$2:$C$100&gt;=BF91),1),""),16),
   IFERROR(_xlfn.AGGREGATE(15,6,DISJUNTORES!$C$2:$C$100/(DISJUNTORES!$C$2:$C$100&gt;=BF91),1),"")))))</f>
        <v/>
      </c>
      <c r="BJ91" s="107"/>
      <c r="BK91" s="107"/>
      <c r="BL91" s="107"/>
      <c r="BM91" s="109" t="str">
        <f t="shared" si="18"/>
        <v/>
      </c>
      <c r="BN91" s="109" t="str">
        <f t="shared" si="19"/>
        <v/>
      </c>
      <c r="BO91" s="109" t="str">
        <f t="shared" si="20"/>
        <v/>
      </c>
      <c r="BP91" s="104" t="str" cm="1">
        <f t="array" ref="BP91">IFERROR(
    INDEX(
        IF(AV91="PVC", 'CAP CONDUÇÃO 70º'!$A:$A, 'CAP CONDUÇÃO 90º'!$A:$A),
        IF(
            COUNTIF(
                IF(AV91="PVC",
                   CHOOSE(
                       MATCH(AU91,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MATCH(AU91,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BI91
            ) &gt; 0,
            MATCH(BI91,
                IF(AV91="PVC",
                   CHOOSE(
                       MATCH(AU91,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MATCH(AU91,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MATCH(BI91,
                IF(AV91="PVC",
                   CHOOSE(
                       MATCH(AU91,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MATCH(AU91,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91" s="166"/>
      <c r="BR91" s="166"/>
      <c r="BS91" s="165" t="str">
        <f ca="1">IFERROR(IF(BP91="","","3F#"&amp;BR91&amp;"mm²+N"&amp;VLOOKUP($BR$5,NEUTRO!$A:$B,2,0)&amp;"mm²+T"&amp;VLOOKUP($BR$5,TERRA!$A:$B,2,0)&amp;"mm²"),"")</f>
        <v/>
      </c>
      <c r="BT91" s="110"/>
      <c r="BU91" s="2"/>
    </row>
    <row r="92" spans="1:73" ht="36.5" hidden="1" thickBot="1" x14ac:dyDescent="0.4">
      <c r="A92" s="106">
        <v>88</v>
      </c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1" t="str">
        <f t="shared" si="21"/>
        <v/>
      </c>
      <c r="AQ92" s="108" t="str">
        <f t="shared" si="15"/>
        <v/>
      </c>
      <c r="AR92" s="109" t="str">
        <f t="shared" si="22"/>
        <v/>
      </c>
      <c r="AS92" s="107"/>
      <c r="AT92" s="170"/>
      <c r="AU92" s="107"/>
      <c r="AV92" s="107"/>
      <c r="AW92" s="107"/>
      <c r="AX92" s="107"/>
      <c r="AY92" s="172" t="s">
        <v>278</v>
      </c>
      <c r="AZ92" s="172" t="s">
        <v>262</v>
      </c>
      <c r="BA92" s="172" t="e">
        <f>INDEX(AGRUPAMENTO!C90:N94,MATCH(AY92,AGRUPAMENTO!B90:B94,0),MATCH(AZ92,AGRUPAMENTO!C89:N89,0))</f>
        <v>#N/A</v>
      </c>
      <c r="BB92" s="174" t="s">
        <v>254</v>
      </c>
      <c r="BC92" s="176">
        <v>30</v>
      </c>
      <c r="BD92" s="172" t="e">
        <f>IF(BB92="SUBTERRÂNEA",IF(AV92="PVC",VLOOKUP(BC92,TEMPERATURA!G89:H103,2,0),VLOOKUP(BC92,TEMPERATURA!G89:I103,3,0)),IF(AV92="PVC",VLOOKUP(BC92,TEMPERATURA!B89:C103,2,0),VLOOKUP(BC92,TEMPERATURA!B89:D103,3,0)))</f>
        <v>#N/A</v>
      </c>
      <c r="BE92" s="102" t="str">
        <f t="shared" si="16"/>
        <v/>
      </c>
      <c r="BF92" s="108" t="str">
        <f t="shared" si="17"/>
        <v/>
      </c>
      <c r="BG92" s="102" t="e">
        <f t="shared" si="23"/>
        <v>#VALUE!</v>
      </c>
      <c r="BH92" s="108" t="str">
        <f t="shared" si="24"/>
        <v/>
      </c>
      <c r="BI92" s="173" t="str">
        <f>IF(AP92="","",
   IF(COUNTA(V92:AE92)&gt;=1,
      MAX(IFERROR(_xlfn.AGGREGATE(15,6,DISJUNTORES!$C$2:$C$100/(DISJUNTORES!$C$2:$C$100&gt;=BF92),1),""),25),
   IF(COUNTA(L92:U92)&gt;=1,
      MAX(IFERROR(_xlfn.AGGREGATE(15,6,DISJUNTORES!$C$2:$C$100/(DISJUNTORES!$C$2:$C$100&gt;=BF92),1),""),20),
   IF(COUNTA(A92:K92)&gt;=1,
      MAX(IFERROR(_xlfn.AGGREGATE(15,6,DISJUNTORES!$C$2:$C$100/(DISJUNTORES!$C$2:$C$100&gt;=BF92),1),""),16),
   IFERROR(_xlfn.AGGREGATE(15,6,DISJUNTORES!$C$2:$C$100/(DISJUNTORES!$C$2:$C$100&gt;=BF92),1),"")))))</f>
        <v/>
      </c>
      <c r="BJ92" s="107"/>
      <c r="BK92" s="107"/>
      <c r="BL92" s="107"/>
      <c r="BM92" s="109" t="str">
        <f t="shared" si="18"/>
        <v/>
      </c>
      <c r="BN92" s="109" t="str">
        <f t="shared" si="19"/>
        <v/>
      </c>
      <c r="BO92" s="109" t="str">
        <f t="shared" si="20"/>
        <v/>
      </c>
      <c r="BP92" s="104" t="str" cm="1">
        <f t="array" ref="BP92">IFERROR(
    INDEX(
        IF(AV92="PVC", 'CAP CONDUÇÃO 70º'!$A:$A, 'CAP CONDUÇÃO 90º'!$A:$A),
        IF(
            COUNTIF(
                IF(AV92="PVC",
                   CHOOSE(
                       MATCH(AU92,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MATCH(AU92,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BI92
            ) &gt; 0,
            MATCH(BI92,
                IF(AV92="PVC",
                   CHOOSE(
                       MATCH(AU92,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MATCH(AU92,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MATCH(BI92,
                IF(AV92="PVC",
                   CHOOSE(
                       MATCH(AU92,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MATCH(AU92,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92" s="166"/>
      <c r="BR92" s="166"/>
      <c r="BS92" s="165" t="str">
        <f ca="1">IFERROR(IF(BP92="","","3F#"&amp;BR92&amp;"mm²+N"&amp;VLOOKUP($BR$5,NEUTRO!$A:$B,2,0)&amp;"mm²+T"&amp;VLOOKUP($BR$5,TERRA!$A:$B,2,0)&amp;"mm²"),"")</f>
        <v/>
      </c>
      <c r="BT92" s="110"/>
      <c r="BU92" s="2"/>
    </row>
    <row r="93" spans="1:73" ht="36.5" hidden="1" thickBot="1" x14ac:dyDescent="0.4">
      <c r="A93" s="106">
        <v>89</v>
      </c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  <c r="AF93" s="107"/>
      <c r="AG93" s="107"/>
      <c r="AH93" s="107"/>
      <c r="AI93" s="107"/>
      <c r="AJ93" s="107"/>
      <c r="AK93" s="107"/>
      <c r="AL93" s="107"/>
      <c r="AM93" s="107"/>
      <c r="AN93" s="107"/>
      <c r="AO93" s="107"/>
      <c r="AP93" s="101" t="str">
        <f t="shared" si="21"/>
        <v/>
      </c>
      <c r="AQ93" s="108" t="str">
        <f t="shared" si="15"/>
        <v/>
      </c>
      <c r="AR93" s="109" t="str">
        <f t="shared" si="22"/>
        <v/>
      </c>
      <c r="AS93" s="107"/>
      <c r="AT93" s="170"/>
      <c r="AU93" s="107"/>
      <c r="AV93" s="107"/>
      <c r="AW93" s="107"/>
      <c r="AX93" s="107"/>
      <c r="AY93" s="172" t="s">
        <v>278</v>
      </c>
      <c r="AZ93" s="172" t="s">
        <v>262</v>
      </c>
      <c r="BA93" s="172" t="e">
        <f>INDEX(AGRUPAMENTO!C91:N95,MATCH(AY93,AGRUPAMENTO!B91:B95,0),MATCH(AZ93,AGRUPAMENTO!C90:N90,0))</f>
        <v>#N/A</v>
      </c>
      <c r="BB93" s="174" t="s">
        <v>254</v>
      </c>
      <c r="BC93" s="176">
        <v>30</v>
      </c>
      <c r="BD93" s="172" t="e">
        <f>IF(BB93="SUBTERRÂNEA",IF(AV93="PVC",VLOOKUP(BC93,TEMPERATURA!G90:H104,2,0),VLOOKUP(BC93,TEMPERATURA!G90:I104,3,0)),IF(AV93="PVC",VLOOKUP(BC93,TEMPERATURA!B90:C104,2,0),VLOOKUP(BC93,TEMPERATURA!B90:D104,3,0)))</f>
        <v>#N/A</v>
      </c>
      <c r="BE93" s="102" t="str">
        <f t="shared" si="16"/>
        <v/>
      </c>
      <c r="BF93" s="108" t="str">
        <f t="shared" si="17"/>
        <v/>
      </c>
      <c r="BG93" s="102" t="e">
        <f t="shared" si="23"/>
        <v>#VALUE!</v>
      </c>
      <c r="BH93" s="108" t="str">
        <f t="shared" si="24"/>
        <v/>
      </c>
      <c r="BI93" s="173" t="str">
        <f>IF(AP93="","",
   IF(COUNTA(V93:AE93)&gt;=1,
      MAX(IFERROR(_xlfn.AGGREGATE(15,6,DISJUNTORES!$C$2:$C$100/(DISJUNTORES!$C$2:$C$100&gt;=BF93),1),""),25),
   IF(COUNTA(L93:U93)&gt;=1,
      MAX(IFERROR(_xlfn.AGGREGATE(15,6,DISJUNTORES!$C$2:$C$100/(DISJUNTORES!$C$2:$C$100&gt;=BF93),1),""),20),
   IF(COUNTA(A93:K93)&gt;=1,
      MAX(IFERROR(_xlfn.AGGREGATE(15,6,DISJUNTORES!$C$2:$C$100/(DISJUNTORES!$C$2:$C$100&gt;=BF93),1),""),16),
   IFERROR(_xlfn.AGGREGATE(15,6,DISJUNTORES!$C$2:$C$100/(DISJUNTORES!$C$2:$C$100&gt;=BF93),1),"")))))</f>
        <v/>
      </c>
      <c r="BJ93" s="107"/>
      <c r="BK93" s="107"/>
      <c r="BL93" s="107"/>
      <c r="BM93" s="109" t="str">
        <f t="shared" si="18"/>
        <v/>
      </c>
      <c r="BN93" s="109" t="str">
        <f t="shared" si="19"/>
        <v/>
      </c>
      <c r="BO93" s="109" t="str">
        <f t="shared" si="20"/>
        <v/>
      </c>
      <c r="BP93" s="104" t="str" cm="1">
        <f t="array" ref="BP93">IFERROR(
    INDEX(
        IF(AV93="PVC", 'CAP CONDUÇÃO 70º'!$A:$A, 'CAP CONDUÇÃO 90º'!$A:$A),
        IF(
            COUNTIF(
                IF(AV93="PVC",
                   CHOOSE(
                       MATCH(AU93,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MATCH(AU93,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BI93
            ) &gt; 0,
            MATCH(BI93,
                IF(AV93="PVC",
                   CHOOSE(
                       MATCH(AU93,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MATCH(AU93,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MATCH(BI93,
                IF(AV93="PVC",
                   CHOOSE(
                       MATCH(AU93,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MATCH(AU93,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93" s="166"/>
      <c r="BR93" s="166"/>
      <c r="BS93" s="165" t="str">
        <f ca="1">IFERROR(IF(BP93="","","3F#"&amp;BR93&amp;"mm²+N"&amp;VLOOKUP($BR$5,NEUTRO!$A:$B,2,0)&amp;"mm²+T"&amp;VLOOKUP($BR$5,TERRA!$A:$B,2,0)&amp;"mm²"),"")</f>
        <v/>
      </c>
      <c r="BT93" s="110"/>
      <c r="BU93" s="2"/>
    </row>
    <row r="94" spans="1:73" ht="36.5" hidden="1" thickBot="1" x14ac:dyDescent="0.4">
      <c r="A94" s="106">
        <v>90</v>
      </c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7"/>
      <c r="AG94" s="107"/>
      <c r="AH94" s="107"/>
      <c r="AI94" s="107"/>
      <c r="AJ94" s="107"/>
      <c r="AK94" s="107"/>
      <c r="AL94" s="107"/>
      <c r="AM94" s="107"/>
      <c r="AN94" s="107"/>
      <c r="AO94" s="107"/>
      <c r="AP94" s="101" t="str">
        <f t="shared" si="21"/>
        <v/>
      </c>
      <c r="AQ94" s="108" t="str">
        <f t="shared" si="15"/>
        <v/>
      </c>
      <c r="AR94" s="109" t="str">
        <f t="shared" si="22"/>
        <v/>
      </c>
      <c r="AS94" s="107"/>
      <c r="AT94" s="170"/>
      <c r="AU94" s="107"/>
      <c r="AV94" s="107"/>
      <c r="AW94" s="107"/>
      <c r="AX94" s="107"/>
      <c r="AY94" s="172" t="s">
        <v>278</v>
      </c>
      <c r="AZ94" s="172" t="s">
        <v>262</v>
      </c>
      <c r="BA94" s="172" t="e">
        <f>INDEX(AGRUPAMENTO!C92:N96,MATCH(AY94,AGRUPAMENTO!B92:B96,0),MATCH(AZ94,AGRUPAMENTO!C91:N91,0))</f>
        <v>#N/A</v>
      </c>
      <c r="BB94" s="174" t="s">
        <v>254</v>
      </c>
      <c r="BC94" s="176">
        <v>30</v>
      </c>
      <c r="BD94" s="172" t="e">
        <f>IF(BB94="SUBTERRÂNEA",IF(AV94="PVC",VLOOKUP(BC94,TEMPERATURA!G91:H105,2,0),VLOOKUP(BC94,TEMPERATURA!G91:I105,3,0)),IF(AV94="PVC",VLOOKUP(BC94,TEMPERATURA!B91:C105,2,0),VLOOKUP(BC94,TEMPERATURA!B91:D105,3,0)))</f>
        <v>#N/A</v>
      </c>
      <c r="BE94" s="102" t="str">
        <f t="shared" si="16"/>
        <v/>
      </c>
      <c r="BF94" s="108" t="str">
        <f t="shared" si="17"/>
        <v/>
      </c>
      <c r="BG94" s="102" t="e">
        <f t="shared" si="23"/>
        <v>#VALUE!</v>
      </c>
      <c r="BH94" s="108" t="str">
        <f t="shared" si="24"/>
        <v/>
      </c>
      <c r="BI94" s="173" t="str">
        <f>IF(AP94="","",
   IF(COUNTA(V94:AE94)&gt;=1,
      MAX(IFERROR(_xlfn.AGGREGATE(15,6,DISJUNTORES!$C$2:$C$100/(DISJUNTORES!$C$2:$C$100&gt;=BF94),1),""),25),
   IF(COUNTA(L94:U94)&gt;=1,
      MAX(IFERROR(_xlfn.AGGREGATE(15,6,DISJUNTORES!$C$2:$C$100/(DISJUNTORES!$C$2:$C$100&gt;=BF94),1),""),20),
   IF(COUNTA(A94:K94)&gt;=1,
      MAX(IFERROR(_xlfn.AGGREGATE(15,6,DISJUNTORES!$C$2:$C$100/(DISJUNTORES!$C$2:$C$100&gt;=BF94),1),""),16),
   IFERROR(_xlfn.AGGREGATE(15,6,DISJUNTORES!$C$2:$C$100/(DISJUNTORES!$C$2:$C$100&gt;=BF94),1),"")))))</f>
        <v/>
      </c>
      <c r="BJ94" s="107"/>
      <c r="BK94" s="107"/>
      <c r="BL94" s="107"/>
      <c r="BM94" s="109" t="str">
        <f t="shared" si="18"/>
        <v/>
      </c>
      <c r="BN94" s="109" t="str">
        <f t="shared" si="19"/>
        <v/>
      </c>
      <c r="BO94" s="109" t="str">
        <f t="shared" si="20"/>
        <v/>
      </c>
      <c r="BP94" s="104" t="str" cm="1">
        <f t="array" ref="BP94">IFERROR(
    INDEX(
        IF(AV94="PVC", 'CAP CONDUÇÃO 70º'!$A:$A, 'CAP CONDUÇÃO 90º'!$A:$A),
        IF(
            COUNTIF(
                IF(AV94="PVC",
                   CHOOSE(
                       MATCH(AU94,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MATCH(AU94,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BI94
            ) &gt; 0,
            MATCH(BI94,
                IF(AV94="PVC",
                   CHOOSE(
                       MATCH(AU94,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MATCH(AU94,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MATCH(BI94,
                IF(AV94="PVC",
                   CHOOSE(
                       MATCH(AU94,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MATCH(AU94,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94" s="166"/>
      <c r="BR94" s="166"/>
      <c r="BS94" s="165" t="str">
        <f ca="1">IFERROR(IF(BP94="","","3F#"&amp;BR94&amp;"mm²+N"&amp;VLOOKUP($BR$5,NEUTRO!$A:$B,2,0)&amp;"mm²+T"&amp;VLOOKUP($BR$5,TERRA!$A:$B,2,0)&amp;"mm²"),"")</f>
        <v/>
      </c>
      <c r="BT94" s="110"/>
      <c r="BU94" s="2"/>
    </row>
    <row r="95" spans="1:73" ht="36.5" hidden="1" thickBot="1" x14ac:dyDescent="0.4">
      <c r="A95" s="106">
        <v>91</v>
      </c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  <c r="AF95" s="107"/>
      <c r="AG95" s="107"/>
      <c r="AH95" s="107"/>
      <c r="AI95" s="107"/>
      <c r="AJ95" s="107"/>
      <c r="AK95" s="107"/>
      <c r="AL95" s="107"/>
      <c r="AM95" s="107"/>
      <c r="AN95" s="107"/>
      <c r="AO95" s="107"/>
      <c r="AP95" s="101" t="str">
        <f t="shared" si="21"/>
        <v/>
      </c>
      <c r="AQ95" s="108" t="str">
        <f t="shared" si="15"/>
        <v/>
      </c>
      <c r="AR95" s="109" t="str">
        <f t="shared" si="22"/>
        <v/>
      </c>
      <c r="AS95" s="107"/>
      <c r="AT95" s="170"/>
      <c r="AU95" s="107"/>
      <c r="AV95" s="107"/>
      <c r="AW95" s="107"/>
      <c r="AX95" s="107"/>
      <c r="AY95" s="172" t="s">
        <v>278</v>
      </c>
      <c r="AZ95" s="172" t="s">
        <v>262</v>
      </c>
      <c r="BA95" s="172" t="e">
        <f>INDEX(AGRUPAMENTO!C93:N97,MATCH(AY95,AGRUPAMENTO!B93:B97,0),MATCH(AZ95,AGRUPAMENTO!C92:N92,0))</f>
        <v>#N/A</v>
      </c>
      <c r="BB95" s="174" t="s">
        <v>254</v>
      </c>
      <c r="BC95" s="176">
        <v>30</v>
      </c>
      <c r="BD95" s="172" t="e">
        <f>IF(BB95="SUBTERRÂNEA",IF(AV95="PVC",VLOOKUP(BC95,TEMPERATURA!G92:H106,2,0),VLOOKUP(BC95,TEMPERATURA!G92:I106,3,0)),IF(AV95="PVC",VLOOKUP(BC95,TEMPERATURA!B92:C106,2,0),VLOOKUP(BC95,TEMPERATURA!B92:D106,3,0)))</f>
        <v>#N/A</v>
      </c>
      <c r="BE95" s="102" t="str">
        <f t="shared" si="16"/>
        <v/>
      </c>
      <c r="BF95" s="108" t="str">
        <f t="shared" si="17"/>
        <v/>
      </c>
      <c r="BG95" s="102" t="e">
        <f t="shared" si="23"/>
        <v>#VALUE!</v>
      </c>
      <c r="BH95" s="108" t="str">
        <f t="shared" si="24"/>
        <v/>
      </c>
      <c r="BI95" s="173" t="str">
        <f>IF(AP95="","",
   IF(COUNTA(V95:AE95)&gt;=1,
      MAX(IFERROR(_xlfn.AGGREGATE(15,6,DISJUNTORES!$C$2:$C$100/(DISJUNTORES!$C$2:$C$100&gt;=BF95),1),""),25),
   IF(COUNTA(L95:U95)&gt;=1,
      MAX(IFERROR(_xlfn.AGGREGATE(15,6,DISJUNTORES!$C$2:$C$100/(DISJUNTORES!$C$2:$C$100&gt;=BF95),1),""),20),
   IF(COUNTA(A95:K95)&gt;=1,
      MAX(IFERROR(_xlfn.AGGREGATE(15,6,DISJUNTORES!$C$2:$C$100/(DISJUNTORES!$C$2:$C$100&gt;=BF95),1),""),16),
   IFERROR(_xlfn.AGGREGATE(15,6,DISJUNTORES!$C$2:$C$100/(DISJUNTORES!$C$2:$C$100&gt;=BF95),1),"")))))</f>
        <v/>
      </c>
      <c r="BJ95" s="107"/>
      <c r="BK95" s="107"/>
      <c r="BL95" s="107"/>
      <c r="BM95" s="109" t="str">
        <f t="shared" si="18"/>
        <v/>
      </c>
      <c r="BN95" s="109" t="str">
        <f t="shared" si="19"/>
        <v/>
      </c>
      <c r="BO95" s="109" t="str">
        <f t="shared" si="20"/>
        <v/>
      </c>
      <c r="BP95" s="104" t="str" cm="1">
        <f t="array" ref="BP95">IFERROR(
    INDEX(
        IF(AV95="PVC", 'CAP CONDUÇÃO 70º'!$A:$A, 'CAP CONDUÇÃO 90º'!$A:$A),
        IF(
            COUNTIF(
                IF(AV95="PVC",
                   CHOOSE(
                       MATCH(AU95,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MATCH(AU95,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BI95
            ) &gt; 0,
            MATCH(BI95,
                IF(AV95="PVC",
                   CHOOSE(
                       MATCH(AU95,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MATCH(AU95,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MATCH(BI95,
                IF(AV95="PVC",
                   CHOOSE(
                       MATCH(AU95,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MATCH(AU95,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95" s="166"/>
      <c r="BR95" s="166"/>
      <c r="BS95" s="165" t="str">
        <f ca="1">IFERROR(IF(BP95="","","3F#"&amp;BR95&amp;"mm²+N"&amp;VLOOKUP($BR$5,NEUTRO!$A:$B,2,0)&amp;"mm²+T"&amp;VLOOKUP($BR$5,TERRA!$A:$B,2,0)&amp;"mm²"),"")</f>
        <v/>
      </c>
      <c r="BT95" s="110"/>
      <c r="BU95" s="2"/>
    </row>
    <row r="96" spans="1:73" ht="36.5" hidden="1" thickBot="1" x14ac:dyDescent="0.4">
      <c r="A96" s="106">
        <v>92</v>
      </c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07"/>
      <c r="AD96" s="107"/>
      <c r="AE96" s="107"/>
      <c r="AF96" s="107"/>
      <c r="AG96" s="107"/>
      <c r="AH96" s="107"/>
      <c r="AI96" s="107"/>
      <c r="AJ96" s="107"/>
      <c r="AK96" s="107"/>
      <c r="AL96" s="107"/>
      <c r="AM96" s="107"/>
      <c r="AN96" s="107"/>
      <c r="AO96" s="107"/>
      <c r="AP96" s="101" t="str">
        <f t="shared" si="21"/>
        <v/>
      </c>
      <c r="AQ96" s="108" t="str">
        <f t="shared" si="15"/>
        <v/>
      </c>
      <c r="AR96" s="109" t="str">
        <f t="shared" si="22"/>
        <v/>
      </c>
      <c r="AS96" s="107"/>
      <c r="AT96" s="170"/>
      <c r="AU96" s="107"/>
      <c r="AV96" s="107"/>
      <c r="AW96" s="107"/>
      <c r="AX96" s="107"/>
      <c r="AY96" s="172" t="s">
        <v>278</v>
      </c>
      <c r="AZ96" s="172" t="s">
        <v>262</v>
      </c>
      <c r="BA96" s="172" t="e">
        <f>INDEX(AGRUPAMENTO!C94:N98,MATCH(AY96,AGRUPAMENTO!B94:B98,0),MATCH(AZ96,AGRUPAMENTO!C93:N93,0))</f>
        <v>#N/A</v>
      </c>
      <c r="BB96" s="174" t="s">
        <v>254</v>
      </c>
      <c r="BC96" s="176">
        <v>30</v>
      </c>
      <c r="BD96" s="172" t="e">
        <f>IF(BB96="SUBTERRÂNEA",IF(AV96="PVC",VLOOKUP(BC96,TEMPERATURA!G93:H107,2,0),VLOOKUP(BC96,TEMPERATURA!G93:I107,3,0)),IF(AV96="PVC",VLOOKUP(BC96,TEMPERATURA!B93:C107,2,0),VLOOKUP(BC96,TEMPERATURA!B93:D107,3,0)))</f>
        <v>#N/A</v>
      </c>
      <c r="BE96" s="102" t="str">
        <f t="shared" si="16"/>
        <v/>
      </c>
      <c r="BF96" s="108" t="str">
        <f t="shared" si="17"/>
        <v/>
      </c>
      <c r="BG96" s="102" t="e">
        <f t="shared" si="23"/>
        <v>#VALUE!</v>
      </c>
      <c r="BH96" s="108" t="str">
        <f t="shared" si="24"/>
        <v/>
      </c>
      <c r="BI96" s="173" t="str">
        <f>IF(AP96="","",
   IF(COUNTA(V96:AE96)&gt;=1,
      MAX(IFERROR(_xlfn.AGGREGATE(15,6,DISJUNTORES!$C$2:$C$100/(DISJUNTORES!$C$2:$C$100&gt;=BF96),1),""),25),
   IF(COUNTA(L96:U96)&gt;=1,
      MAX(IFERROR(_xlfn.AGGREGATE(15,6,DISJUNTORES!$C$2:$C$100/(DISJUNTORES!$C$2:$C$100&gt;=BF96),1),""),20),
   IF(COUNTA(A96:K96)&gt;=1,
      MAX(IFERROR(_xlfn.AGGREGATE(15,6,DISJUNTORES!$C$2:$C$100/(DISJUNTORES!$C$2:$C$100&gt;=BF96),1),""),16),
   IFERROR(_xlfn.AGGREGATE(15,6,DISJUNTORES!$C$2:$C$100/(DISJUNTORES!$C$2:$C$100&gt;=BF96),1),"")))))</f>
        <v/>
      </c>
      <c r="BJ96" s="107"/>
      <c r="BK96" s="107"/>
      <c r="BL96" s="107"/>
      <c r="BM96" s="109" t="str">
        <f t="shared" si="18"/>
        <v/>
      </c>
      <c r="BN96" s="109" t="str">
        <f t="shared" si="19"/>
        <v/>
      </c>
      <c r="BO96" s="109" t="str">
        <f t="shared" si="20"/>
        <v/>
      </c>
      <c r="BP96" s="104" t="str" cm="1">
        <f t="array" ref="BP96">IFERROR(
    INDEX(
        IF(AV96="PVC", 'CAP CONDUÇÃO 70º'!$A:$A, 'CAP CONDUÇÃO 90º'!$A:$A),
        IF(
            COUNTIF(
                IF(AV96="PVC",
                   CHOOSE(
                       MATCH(AU96,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MATCH(AU96,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BI96
            ) &gt; 0,
            MATCH(BI96,
                IF(AV96="PVC",
                   CHOOSE(
                       MATCH(AU96,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MATCH(AU96,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MATCH(BI96,
                IF(AV96="PVC",
                   CHOOSE(
                       MATCH(AU96,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MATCH(AU96,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96" s="166"/>
      <c r="BR96" s="166"/>
      <c r="BS96" s="165" t="str">
        <f ca="1">IFERROR(IF(BP96="","","3F#"&amp;BR96&amp;"mm²+N"&amp;VLOOKUP($BR$5,NEUTRO!$A:$B,2,0)&amp;"mm²+T"&amp;VLOOKUP($BR$5,TERRA!$A:$B,2,0)&amp;"mm²"),"")</f>
        <v/>
      </c>
      <c r="BT96" s="110"/>
      <c r="BU96" s="2"/>
    </row>
    <row r="97" spans="1:73" ht="36.5" hidden="1" thickBot="1" x14ac:dyDescent="0.4">
      <c r="A97" s="106">
        <v>93</v>
      </c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  <c r="AG97" s="107"/>
      <c r="AH97" s="107"/>
      <c r="AI97" s="107"/>
      <c r="AJ97" s="107"/>
      <c r="AK97" s="107"/>
      <c r="AL97" s="107"/>
      <c r="AM97" s="107"/>
      <c r="AN97" s="107"/>
      <c r="AO97" s="107"/>
      <c r="AP97" s="101" t="str">
        <f t="shared" si="21"/>
        <v/>
      </c>
      <c r="AQ97" s="108" t="str">
        <f t="shared" si="15"/>
        <v/>
      </c>
      <c r="AR97" s="109" t="str">
        <f t="shared" si="22"/>
        <v/>
      </c>
      <c r="AS97" s="107"/>
      <c r="AT97" s="170"/>
      <c r="AU97" s="107"/>
      <c r="AV97" s="107"/>
      <c r="AW97" s="107"/>
      <c r="AX97" s="107"/>
      <c r="AY97" s="172" t="s">
        <v>278</v>
      </c>
      <c r="AZ97" s="172" t="s">
        <v>262</v>
      </c>
      <c r="BA97" s="172" t="e">
        <f>INDEX(AGRUPAMENTO!C95:N99,MATCH(AY97,AGRUPAMENTO!B95:B99,0),MATCH(AZ97,AGRUPAMENTO!C94:N94,0))</f>
        <v>#N/A</v>
      </c>
      <c r="BB97" s="174" t="s">
        <v>254</v>
      </c>
      <c r="BC97" s="176">
        <v>30</v>
      </c>
      <c r="BD97" s="172" t="e">
        <f>IF(BB97="SUBTERRÂNEA",IF(AV97="PVC",VLOOKUP(BC97,TEMPERATURA!G94:H108,2,0),VLOOKUP(BC97,TEMPERATURA!G94:I108,3,0)),IF(AV97="PVC",VLOOKUP(BC97,TEMPERATURA!B94:C108,2,0),VLOOKUP(BC97,TEMPERATURA!B94:D108,3,0)))</f>
        <v>#N/A</v>
      </c>
      <c r="BE97" s="102" t="str">
        <f t="shared" si="16"/>
        <v/>
      </c>
      <c r="BF97" s="108" t="str">
        <f t="shared" si="17"/>
        <v/>
      </c>
      <c r="BG97" s="102" t="e">
        <f t="shared" si="23"/>
        <v>#VALUE!</v>
      </c>
      <c r="BH97" s="108" t="str">
        <f t="shared" si="24"/>
        <v/>
      </c>
      <c r="BI97" s="173" t="str">
        <f>IF(AP97="","",
   IF(COUNTA(V97:AE97)&gt;=1,
      MAX(IFERROR(_xlfn.AGGREGATE(15,6,DISJUNTORES!$C$2:$C$100/(DISJUNTORES!$C$2:$C$100&gt;=BF97),1),""),25),
   IF(COUNTA(L97:U97)&gt;=1,
      MAX(IFERROR(_xlfn.AGGREGATE(15,6,DISJUNTORES!$C$2:$C$100/(DISJUNTORES!$C$2:$C$100&gt;=BF97),1),""),20),
   IF(COUNTA(A97:K97)&gt;=1,
      MAX(IFERROR(_xlfn.AGGREGATE(15,6,DISJUNTORES!$C$2:$C$100/(DISJUNTORES!$C$2:$C$100&gt;=BF97),1),""),16),
   IFERROR(_xlfn.AGGREGATE(15,6,DISJUNTORES!$C$2:$C$100/(DISJUNTORES!$C$2:$C$100&gt;=BF97),1),"")))))</f>
        <v/>
      </c>
      <c r="BJ97" s="107"/>
      <c r="BK97" s="107"/>
      <c r="BL97" s="107"/>
      <c r="BM97" s="109" t="str">
        <f t="shared" si="18"/>
        <v/>
      </c>
      <c r="BN97" s="109" t="str">
        <f t="shared" si="19"/>
        <v/>
      </c>
      <c r="BO97" s="109" t="str">
        <f t="shared" si="20"/>
        <v/>
      </c>
      <c r="BP97" s="104" t="str" cm="1">
        <f t="array" ref="BP97">IFERROR(
    INDEX(
        IF(AV97="PVC", 'CAP CONDUÇÃO 70º'!$A:$A, 'CAP CONDUÇÃO 90º'!$A:$A),
        IF(
            COUNTIF(
                IF(AV97="PVC",
                   CHOOSE(
                       MATCH(AU97,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MATCH(AU97,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BI97
            ) &gt; 0,
            MATCH(BI97,
                IF(AV97="PVC",
                   CHOOSE(
                       MATCH(AU97,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MATCH(AU97,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MATCH(BI97,
                IF(AV97="PVC",
                   CHOOSE(
                       MATCH(AU97,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MATCH(AU97,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97" s="166"/>
      <c r="BR97" s="166"/>
      <c r="BS97" s="165" t="str">
        <f ca="1">IFERROR(IF(BP97="","","3F#"&amp;BR97&amp;"mm²+N"&amp;VLOOKUP($BR$5,NEUTRO!$A:$B,2,0)&amp;"mm²+T"&amp;VLOOKUP($BR$5,TERRA!$A:$B,2,0)&amp;"mm²"),"")</f>
        <v/>
      </c>
      <c r="BT97" s="110"/>
      <c r="BU97" s="2"/>
    </row>
    <row r="98" spans="1:73" ht="36.5" hidden="1" thickBot="1" x14ac:dyDescent="0.4">
      <c r="A98" s="106">
        <v>94</v>
      </c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  <c r="AF98" s="107"/>
      <c r="AG98" s="107"/>
      <c r="AH98" s="107"/>
      <c r="AI98" s="107"/>
      <c r="AJ98" s="107"/>
      <c r="AK98" s="107"/>
      <c r="AL98" s="107"/>
      <c r="AM98" s="107"/>
      <c r="AN98" s="107"/>
      <c r="AO98" s="107"/>
      <c r="AP98" s="101" t="str">
        <f t="shared" si="21"/>
        <v/>
      </c>
      <c r="AQ98" s="108" t="str">
        <f t="shared" si="15"/>
        <v/>
      </c>
      <c r="AR98" s="109" t="str">
        <f t="shared" si="22"/>
        <v/>
      </c>
      <c r="AS98" s="107"/>
      <c r="AT98" s="170"/>
      <c r="AU98" s="107"/>
      <c r="AV98" s="107"/>
      <c r="AW98" s="107"/>
      <c r="AX98" s="107"/>
      <c r="AY98" s="172" t="s">
        <v>278</v>
      </c>
      <c r="AZ98" s="172" t="s">
        <v>262</v>
      </c>
      <c r="BA98" s="172" t="e">
        <f>INDEX(AGRUPAMENTO!C96:N100,MATCH(AY98,AGRUPAMENTO!B96:B100,0),MATCH(AZ98,AGRUPAMENTO!C95:N95,0))</f>
        <v>#N/A</v>
      </c>
      <c r="BB98" s="174" t="s">
        <v>254</v>
      </c>
      <c r="BC98" s="176">
        <v>30</v>
      </c>
      <c r="BD98" s="172" t="e">
        <f>IF(BB98="SUBTERRÂNEA",IF(AV98="PVC",VLOOKUP(BC98,TEMPERATURA!G95:H109,2,0),VLOOKUP(BC98,TEMPERATURA!G95:I109,3,0)),IF(AV98="PVC",VLOOKUP(BC98,TEMPERATURA!B95:C109,2,0),VLOOKUP(BC98,TEMPERATURA!B95:D109,3,0)))</f>
        <v>#N/A</v>
      </c>
      <c r="BE98" s="102" t="str">
        <f t="shared" si="16"/>
        <v/>
      </c>
      <c r="BF98" s="108" t="str">
        <f t="shared" si="17"/>
        <v/>
      </c>
      <c r="BG98" s="102" t="e">
        <f t="shared" si="23"/>
        <v>#VALUE!</v>
      </c>
      <c r="BH98" s="108" t="str">
        <f t="shared" si="24"/>
        <v/>
      </c>
      <c r="BI98" s="173" t="str">
        <f>IF(AP98="","",
   IF(COUNTA(V98:AE98)&gt;=1,
      MAX(IFERROR(_xlfn.AGGREGATE(15,6,DISJUNTORES!$C$2:$C$100/(DISJUNTORES!$C$2:$C$100&gt;=BF98),1),""),25),
   IF(COUNTA(L98:U98)&gt;=1,
      MAX(IFERROR(_xlfn.AGGREGATE(15,6,DISJUNTORES!$C$2:$C$100/(DISJUNTORES!$C$2:$C$100&gt;=BF98),1),""),20),
   IF(COUNTA(A98:K98)&gt;=1,
      MAX(IFERROR(_xlfn.AGGREGATE(15,6,DISJUNTORES!$C$2:$C$100/(DISJUNTORES!$C$2:$C$100&gt;=BF98),1),""),16),
   IFERROR(_xlfn.AGGREGATE(15,6,DISJUNTORES!$C$2:$C$100/(DISJUNTORES!$C$2:$C$100&gt;=BF98),1),"")))))</f>
        <v/>
      </c>
      <c r="BJ98" s="107"/>
      <c r="BK98" s="107"/>
      <c r="BL98" s="107"/>
      <c r="BM98" s="109" t="str">
        <f t="shared" si="18"/>
        <v/>
      </c>
      <c r="BN98" s="109" t="str">
        <f t="shared" si="19"/>
        <v/>
      </c>
      <c r="BO98" s="109" t="str">
        <f t="shared" si="20"/>
        <v/>
      </c>
      <c r="BP98" s="104" t="str" cm="1">
        <f t="array" ref="BP98">IFERROR(
    INDEX(
        IF(AV98="PVC", 'CAP CONDUÇÃO 70º'!$A:$A, 'CAP CONDUÇÃO 90º'!$A:$A),
        IF(
            COUNTIF(
                IF(AV98="PVC",
                   CHOOSE(
                       MATCH(AU98,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MATCH(AU98,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BI98
            ) &gt; 0,
            MATCH(BI98,
                IF(AV98="PVC",
                   CHOOSE(
                       MATCH(AU98,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MATCH(AU98,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MATCH(BI98,
                IF(AV98="PVC",
                   CHOOSE(
                       MATCH(AU98,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MATCH(AU98,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98" s="166"/>
      <c r="BR98" s="166"/>
      <c r="BS98" s="165" t="str">
        <f ca="1">IFERROR(IF(BP98="","","3F#"&amp;BR98&amp;"mm²+N"&amp;VLOOKUP($BR$5,NEUTRO!$A:$B,2,0)&amp;"mm²+T"&amp;VLOOKUP($BR$5,TERRA!$A:$B,2,0)&amp;"mm²"),"")</f>
        <v/>
      </c>
      <c r="BT98" s="110"/>
      <c r="BU98" s="2"/>
    </row>
    <row r="99" spans="1:73" ht="36.5" hidden="1" thickBot="1" x14ac:dyDescent="0.4">
      <c r="A99" s="106">
        <v>95</v>
      </c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  <c r="AG99" s="107"/>
      <c r="AH99" s="107"/>
      <c r="AI99" s="107"/>
      <c r="AJ99" s="107"/>
      <c r="AK99" s="107"/>
      <c r="AL99" s="107"/>
      <c r="AM99" s="107"/>
      <c r="AN99" s="107"/>
      <c r="AO99" s="107"/>
      <c r="AP99" s="101" t="str">
        <f t="shared" si="21"/>
        <v/>
      </c>
      <c r="AQ99" s="108" t="str">
        <f t="shared" si="15"/>
        <v/>
      </c>
      <c r="AR99" s="109" t="str">
        <f t="shared" si="22"/>
        <v/>
      </c>
      <c r="AS99" s="107"/>
      <c r="AT99" s="170"/>
      <c r="AU99" s="107"/>
      <c r="AV99" s="107"/>
      <c r="AW99" s="107"/>
      <c r="AX99" s="107"/>
      <c r="AY99" s="172" t="s">
        <v>278</v>
      </c>
      <c r="AZ99" s="172" t="s">
        <v>262</v>
      </c>
      <c r="BA99" s="172" t="e">
        <f>INDEX(AGRUPAMENTO!C97:N101,MATCH(AY99,AGRUPAMENTO!B97:B101,0),MATCH(AZ99,AGRUPAMENTO!C96:N96,0))</f>
        <v>#N/A</v>
      </c>
      <c r="BB99" s="174" t="s">
        <v>254</v>
      </c>
      <c r="BC99" s="176">
        <v>30</v>
      </c>
      <c r="BD99" s="172" t="e">
        <f>IF(BB99="SUBTERRÂNEA",IF(AV99="PVC",VLOOKUP(BC99,TEMPERATURA!G96:H110,2,0),VLOOKUP(BC99,TEMPERATURA!G96:I110,3,0)),IF(AV99="PVC",VLOOKUP(BC99,TEMPERATURA!B96:C110,2,0),VLOOKUP(BC99,TEMPERATURA!B96:D110,3,0)))</f>
        <v>#N/A</v>
      </c>
      <c r="BE99" s="102" t="str">
        <f t="shared" si="16"/>
        <v/>
      </c>
      <c r="BF99" s="108" t="str">
        <f t="shared" si="17"/>
        <v/>
      </c>
      <c r="BG99" s="102" t="e">
        <f t="shared" si="23"/>
        <v>#VALUE!</v>
      </c>
      <c r="BH99" s="108" t="str">
        <f t="shared" si="24"/>
        <v/>
      </c>
      <c r="BI99" s="173" t="str">
        <f>IF(AP99="","",
   IF(COUNTA(V99:AE99)&gt;=1,
      MAX(IFERROR(_xlfn.AGGREGATE(15,6,DISJUNTORES!$C$2:$C$100/(DISJUNTORES!$C$2:$C$100&gt;=BF99),1),""),25),
   IF(COUNTA(L99:U99)&gt;=1,
      MAX(IFERROR(_xlfn.AGGREGATE(15,6,DISJUNTORES!$C$2:$C$100/(DISJUNTORES!$C$2:$C$100&gt;=BF99),1),""),20),
   IF(COUNTA(A99:K99)&gt;=1,
      MAX(IFERROR(_xlfn.AGGREGATE(15,6,DISJUNTORES!$C$2:$C$100/(DISJUNTORES!$C$2:$C$100&gt;=BF99),1),""),16),
   IFERROR(_xlfn.AGGREGATE(15,6,DISJUNTORES!$C$2:$C$100/(DISJUNTORES!$C$2:$C$100&gt;=BF99),1),"")))))</f>
        <v/>
      </c>
      <c r="BJ99" s="107"/>
      <c r="BK99" s="107"/>
      <c r="BL99" s="107"/>
      <c r="BM99" s="109" t="str">
        <f t="shared" si="18"/>
        <v/>
      </c>
      <c r="BN99" s="109" t="str">
        <f t="shared" si="19"/>
        <v/>
      </c>
      <c r="BO99" s="109" t="str">
        <f t="shared" si="20"/>
        <v/>
      </c>
      <c r="BP99" s="104" t="str" cm="1">
        <f t="array" ref="BP99">IFERROR(
    INDEX(
        IF(AV99="PVC", 'CAP CONDUÇÃO 70º'!$A:$A, 'CAP CONDUÇÃO 90º'!$A:$A),
        IF(
            COUNTIF(
                IF(AV99="PVC",
                   CHOOSE(
                       MATCH(AU99,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MATCH(AU99,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BI99
            ) &gt; 0,
            MATCH(BI99,
                IF(AV99="PVC",
                   CHOOSE(
                       MATCH(AU99,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MATCH(AU99,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MATCH(BI99,
                IF(AV99="PVC",
                   CHOOSE(
                       MATCH(AU99,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MATCH(AU99,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99" s="166"/>
      <c r="BR99" s="166"/>
      <c r="BS99" s="165" t="str">
        <f ca="1">IFERROR(IF(BP99="","","3F#"&amp;BR99&amp;"mm²+N"&amp;VLOOKUP($BR$5,NEUTRO!$A:$B,2,0)&amp;"mm²+T"&amp;VLOOKUP($BR$5,TERRA!$A:$B,2,0)&amp;"mm²"),"")</f>
        <v/>
      </c>
      <c r="BT99" s="110"/>
      <c r="BU99" s="2"/>
    </row>
    <row r="100" spans="1:73" ht="36.5" hidden="1" thickBot="1" x14ac:dyDescent="0.4">
      <c r="A100" s="106">
        <v>96</v>
      </c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107"/>
      <c r="AH100" s="107"/>
      <c r="AI100" s="107"/>
      <c r="AJ100" s="107"/>
      <c r="AK100" s="107"/>
      <c r="AL100" s="107"/>
      <c r="AM100" s="107"/>
      <c r="AN100" s="107"/>
      <c r="AO100" s="107"/>
      <c r="AP100" s="101" t="str">
        <f t="shared" si="21"/>
        <v/>
      </c>
      <c r="AQ100" s="108" t="str">
        <f t="shared" si="15"/>
        <v/>
      </c>
      <c r="AR100" s="109" t="str">
        <f t="shared" si="22"/>
        <v/>
      </c>
      <c r="AS100" s="107"/>
      <c r="AT100" s="170"/>
      <c r="AU100" s="107"/>
      <c r="AV100" s="107"/>
      <c r="AW100" s="107"/>
      <c r="AX100" s="107"/>
      <c r="AY100" s="172" t="s">
        <v>278</v>
      </c>
      <c r="AZ100" s="172" t="s">
        <v>262</v>
      </c>
      <c r="BA100" s="172" t="e">
        <f>INDEX(AGRUPAMENTO!C98:N102,MATCH(AY100,AGRUPAMENTO!B98:B102,0),MATCH(AZ100,AGRUPAMENTO!C97:N97,0))</f>
        <v>#N/A</v>
      </c>
      <c r="BB100" s="174" t="s">
        <v>254</v>
      </c>
      <c r="BC100" s="176">
        <v>30</v>
      </c>
      <c r="BD100" s="172" t="e">
        <f>IF(BB100="SUBTERRÂNEA",IF(AV100="PVC",VLOOKUP(BC100,TEMPERATURA!G97:H111,2,0),VLOOKUP(BC100,TEMPERATURA!G97:I111,3,0)),IF(AV100="PVC",VLOOKUP(BC100,TEMPERATURA!B97:C111,2,0),VLOOKUP(BC100,TEMPERATURA!B97:D111,3,0)))</f>
        <v>#N/A</v>
      </c>
      <c r="BE100" s="102" t="str">
        <f t="shared" si="16"/>
        <v/>
      </c>
      <c r="BF100" s="108" t="str">
        <f t="shared" si="17"/>
        <v/>
      </c>
      <c r="BG100" s="102" t="e">
        <f t="shared" si="23"/>
        <v>#VALUE!</v>
      </c>
      <c r="BH100" s="108" t="str">
        <f t="shared" si="24"/>
        <v/>
      </c>
      <c r="BI100" s="173" t="str">
        <f>IF(AP100="","",
   IF(COUNTA(V100:AE100)&gt;=1,
      MAX(IFERROR(_xlfn.AGGREGATE(15,6,DISJUNTORES!$C$2:$C$100/(DISJUNTORES!$C$2:$C$100&gt;=BF100),1),""),25),
   IF(COUNTA(L100:U100)&gt;=1,
      MAX(IFERROR(_xlfn.AGGREGATE(15,6,DISJUNTORES!$C$2:$C$100/(DISJUNTORES!$C$2:$C$100&gt;=BF100),1),""),20),
   IF(COUNTA(A100:K100)&gt;=1,
      MAX(IFERROR(_xlfn.AGGREGATE(15,6,DISJUNTORES!$C$2:$C$100/(DISJUNTORES!$C$2:$C$100&gt;=BF100),1),""),16),
   IFERROR(_xlfn.AGGREGATE(15,6,DISJUNTORES!$C$2:$C$100/(DISJUNTORES!$C$2:$C$100&gt;=BF100),1),"")))))</f>
        <v/>
      </c>
      <c r="BJ100" s="107"/>
      <c r="BK100" s="107"/>
      <c r="BL100" s="107"/>
      <c r="BM100" s="109" t="str">
        <f t="shared" si="18"/>
        <v/>
      </c>
      <c r="BN100" s="109" t="str">
        <f t="shared" si="19"/>
        <v/>
      </c>
      <c r="BO100" s="109" t="str">
        <f t="shared" si="20"/>
        <v/>
      </c>
      <c r="BP100" s="104" t="str" cm="1">
        <f t="array" ref="BP100">IFERROR(
    INDEX(
        IF(AV100="PVC", 'CAP CONDUÇÃO 70º'!$A:$A, 'CAP CONDUÇÃO 90º'!$A:$A),
        IF(
            COUNTIF(
                IF(AV100="PVC",
                   CHOOSE(
                       MATCH(AU100,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MATCH(AU100,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BI100
            ) &gt; 0,
            MATCH(BI100,
                IF(AV100="PVC",
                   CHOOSE(
                       MATCH(AU100,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MATCH(AU100,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MATCH(BI100,
                IF(AV100="PVC",
                   CHOOSE(
                       MATCH(AU100,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MATCH(AU100,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100" s="166"/>
      <c r="BR100" s="166"/>
      <c r="BS100" s="165" t="str">
        <f ca="1">IFERROR(IF(BP100="","","3F#"&amp;BR100&amp;"mm²+N"&amp;VLOOKUP($BR$5,NEUTRO!$A:$B,2,0)&amp;"mm²+T"&amp;VLOOKUP($BR$5,TERRA!$A:$B,2,0)&amp;"mm²"),"")</f>
        <v/>
      </c>
      <c r="BT100" s="110"/>
      <c r="BU100" s="2"/>
    </row>
    <row r="101" spans="1:73" ht="36.75" hidden="1" customHeight="1" thickBot="1" x14ac:dyDescent="0.4">
      <c r="A101" s="106">
        <v>97</v>
      </c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107"/>
      <c r="AH101" s="107"/>
      <c r="AI101" s="107"/>
      <c r="AJ101" s="107"/>
      <c r="AK101" s="107"/>
      <c r="AL101" s="107"/>
      <c r="AM101" s="107"/>
      <c r="AN101" s="107"/>
      <c r="AO101" s="107"/>
      <c r="AP101" s="101" t="str">
        <f t="shared" si="21"/>
        <v/>
      </c>
      <c r="AQ101" s="108" t="str">
        <f t="shared" si="15"/>
        <v/>
      </c>
      <c r="AR101" s="109" t="str">
        <f t="shared" si="22"/>
        <v/>
      </c>
      <c r="AS101" s="107"/>
      <c r="AT101" s="170"/>
      <c r="AU101" s="107"/>
      <c r="AV101" s="107"/>
      <c r="AW101" s="107"/>
      <c r="AX101" s="107"/>
      <c r="AY101" s="172" t="s">
        <v>278</v>
      </c>
      <c r="AZ101" s="172" t="s">
        <v>262</v>
      </c>
      <c r="BA101" s="172" t="e">
        <f>INDEX(AGRUPAMENTO!C99:N103,MATCH(AY101,AGRUPAMENTO!B99:B103,0),MATCH(AZ101,AGRUPAMENTO!C98:N98,0))</f>
        <v>#N/A</v>
      </c>
      <c r="BB101" s="174" t="s">
        <v>254</v>
      </c>
      <c r="BC101" s="176">
        <v>30</v>
      </c>
      <c r="BD101" s="172" t="e">
        <f>IF(BB101="SUBTERRÂNEA",IF(AV101="PVC",VLOOKUP(BC101,TEMPERATURA!G98:H112,2,0),VLOOKUP(BC101,TEMPERATURA!G98:I112,3,0)),IF(AV101="PVC",VLOOKUP(BC101,TEMPERATURA!B98:C112,2,0),VLOOKUP(BC101,TEMPERATURA!B98:D112,3,0)))</f>
        <v>#N/A</v>
      </c>
      <c r="BE101" s="102" t="str">
        <f t="shared" si="16"/>
        <v/>
      </c>
      <c r="BF101" s="108" t="str">
        <f t="shared" si="17"/>
        <v/>
      </c>
      <c r="BG101" s="102" t="e">
        <f t="shared" si="23"/>
        <v>#VALUE!</v>
      </c>
      <c r="BH101" s="108" t="str">
        <f t="shared" si="24"/>
        <v/>
      </c>
      <c r="BI101" s="173" t="str">
        <f>IF(AP101="","",
   IF(COUNTA(V101:AE101)&gt;=1,
      MAX(IFERROR(_xlfn.AGGREGATE(15,6,DISJUNTORES!$C$2:$C$100/(DISJUNTORES!$C$2:$C$100&gt;=BF101),1),""),25),
   IF(COUNTA(L101:U101)&gt;=1,
      MAX(IFERROR(_xlfn.AGGREGATE(15,6,DISJUNTORES!$C$2:$C$100/(DISJUNTORES!$C$2:$C$100&gt;=BF101),1),""),20),
   IF(COUNTA(A101:K101)&gt;=1,
      MAX(IFERROR(_xlfn.AGGREGATE(15,6,DISJUNTORES!$C$2:$C$100/(DISJUNTORES!$C$2:$C$100&gt;=BF101),1),""),16),
   IFERROR(_xlfn.AGGREGATE(15,6,DISJUNTORES!$C$2:$C$100/(DISJUNTORES!$C$2:$C$100&gt;=BF101),1),"")))))</f>
        <v/>
      </c>
      <c r="BJ101" s="107"/>
      <c r="BK101" s="107"/>
      <c r="BL101" s="107"/>
      <c r="BM101" s="109" t="str">
        <f t="shared" ref="BM101:BM104" si="25">IF(IF(BJ101="","",AR101/COUNTA(BJ101:BL101))=0,"",IF(BJ101="","",AR101/COUNTA(BJ101:BL101)))</f>
        <v/>
      </c>
      <c r="BN101" s="109" t="str">
        <f t="shared" si="19"/>
        <v/>
      </c>
      <c r="BO101" s="109" t="str">
        <f t="shared" si="20"/>
        <v/>
      </c>
      <c r="BP101" s="104" t="str" cm="1">
        <f t="array" ref="BP101">IFERROR(
    INDEX(
        IF(AV101="PVC", 'CAP CONDUÇÃO 70º'!$A:$A, 'CAP CONDUÇÃO 90º'!$A:$A),
        IF(
            COUNTIF(
                IF(AV101="PVC",
                   CHOOSE(
                       MATCH(AU101,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MATCH(AU101,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BI101
            ) &gt; 0,
            MATCH(BI101,
                IF(AV101="PVC",
                   CHOOSE(
                       MATCH(AU101,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MATCH(AU101,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MATCH(BI101,
                IF(AV101="PVC",
                   CHOOSE(
                       MATCH(AU101,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MATCH(AU101,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101" s="166"/>
      <c r="BR101" s="166"/>
      <c r="BS101" s="165" t="str">
        <f ca="1">IFERROR(IF(BP101="","","3F#"&amp;BR101&amp;"mm²+N"&amp;VLOOKUP($BR$5,NEUTRO!$A:$B,2,0)&amp;"mm²+T"&amp;VLOOKUP($BR$5,TERRA!$A:$B,2,0)&amp;"mm²"),"")</f>
        <v/>
      </c>
      <c r="BT101" s="110"/>
      <c r="BU101" s="2"/>
    </row>
    <row r="102" spans="1:73" ht="36.5" thickBot="1" x14ac:dyDescent="0.4">
      <c r="A102" s="106">
        <v>98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  <c r="AF102" s="107"/>
      <c r="AG102" s="107"/>
      <c r="AH102" s="107"/>
      <c r="AI102" s="107"/>
      <c r="AJ102" s="107"/>
      <c r="AK102" s="107"/>
      <c r="AL102" s="107"/>
      <c r="AM102" s="107"/>
      <c r="AN102" s="107">
        <v>2</v>
      </c>
      <c r="AO102" s="107"/>
      <c r="AP102" s="101" t="str">
        <f>IF(SUMPRODUCT(B102:AO102, B$4:AO$4)=0, "", SUMPRODUCT(B102:AO102, B$4:AO$4))</f>
        <v/>
      </c>
      <c r="AQ102" s="108" t="str">
        <f t="shared" si="15"/>
        <v/>
      </c>
      <c r="AR102" s="109" t="str">
        <f t="shared" si="22"/>
        <v/>
      </c>
      <c r="AS102" s="107"/>
      <c r="AT102" s="170"/>
      <c r="AU102" s="107"/>
      <c r="AV102" s="107"/>
      <c r="AW102" s="107"/>
      <c r="AX102" s="107"/>
      <c r="AY102" s="172" t="s">
        <v>278</v>
      </c>
      <c r="AZ102" s="172" t="s">
        <v>262</v>
      </c>
      <c r="BA102" s="172" t="e">
        <f>INDEX(AGRUPAMENTO!C100:N104,MATCH(AY102,AGRUPAMENTO!B100:B104,0),MATCH(AZ102,AGRUPAMENTO!C99:N99,0))</f>
        <v>#N/A</v>
      </c>
      <c r="BB102" s="174" t="s">
        <v>254</v>
      </c>
      <c r="BC102" s="176">
        <v>30</v>
      </c>
      <c r="BD102" s="172" t="e">
        <f>IF(BB102="SUBTERRÂNEA",IF(AV102="PVC",VLOOKUP(BC102,TEMPERATURA!G99:H113,2,0),VLOOKUP(BC102,TEMPERATURA!G99:I113,3,0)),IF(AV102="PVC",VLOOKUP(BC102,TEMPERATURA!B99:C113,2,0),VLOOKUP(BC102,TEMPERATURA!B99:D113,3,0)))</f>
        <v>#N/A</v>
      </c>
      <c r="BE102" s="102" t="str">
        <f t="shared" si="16"/>
        <v/>
      </c>
      <c r="BF102" s="108" t="str">
        <f t="shared" si="17"/>
        <v/>
      </c>
      <c r="BG102" s="102" t="e">
        <f t="shared" si="23"/>
        <v>#VALUE!</v>
      </c>
      <c r="BH102" s="108">
        <f t="shared" si="24"/>
        <v>1</v>
      </c>
      <c r="BI102" s="173" t="str">
        <f>IF(AP102="","",
   IF(COUNTA(V102:AE102)&gt;=1,
      MAX(IFERROR(_xlfn.AGGREGATE(15,6,DISJUNTORES!$C$2:$C$100/(DISJUNTORES!$C$2:$C$100&gt;=BF102),1),""),25),
   IF(COUNTA(L102:U102)&gt;=1,
      MAX(IFERROR(_xlfn.AGGREGATE(15,6,DISJUNTORES!$C$2:$C$100/(DISJUNTORES!$C$2:$C$100&gt;=BF102),1),""),20),
   IF(COUNTA(A102:K102)&gt;=1,
      MAX(IFERROR(_xlfn.AGGREGATE(15,6,DISJUNTORES!$C$2:$C$100/(DISJUNTORES!$C$2:$C$100&gt;=BF102),1),""),16),
   IFERROR(_xlfn.AGGREGATE(15,6,DISJUNTORES!$C$2:$C$100/(DISJUNTORES!$C$2:$C$100&gt;=BF102),1),"")))))</f>
        <v/>
      </c>
      <c r="BJ102" s="107" t="s">
        <v>232</v>
      </c>
      <c r="BK102" s="107"/>
      <c r="BL102" s="107"/>
      <c r="BM102" s="109" t="e">
        <f t="shared" si="25"/>
        <v>#VALUE!</v>
      </c>
      <c r="BN102" s="109" t="str">
        <f t="shared" si="19"/>
        <v/>
      </c>
      <c r="BO102" s="109" t="str">
        <f t="shared" si="20"/>
        <v/>
      </c>
      <c r="BP102" s="104" t="str" cm="1">
        <f t="array" ref="BP102">IFERROR(
    INDEX(
        IF(AV102="PVC", 'CAP CONDUÇÃO 70º'!$A:$A, 'CAP CONDUÇÃO 90º'!$A:$A),
        IF(
            COUNTIF(
                IF(AV102="PVC",
                   CHOOSE(
                       MATCH(AU102,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MATCH(AU102,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BI102
            ) &gt; 0,
            MATCH(BI102,
                IF(AV102="PVC",
                   CHOOSE(
                       MATCH(AU102,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MATCH(AU102,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MATCH(BI102,
                IF(AV102="PVC",
                   CHOOSE(
                       MATCH(AU102,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MATCH(AU102,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102" s="166"/>
      <c r="BR102" s="166"/>
      <c r="BS102" s="165" t="str">
        <f ca="1">IFERROR(IF(BP102="","","3F#"&amp;BR102&amp;"mm²+N"&amp;VLOOKUP($BR$5,NEUTRO!$A:$B,2,0)&amp;"mm²+T"&amp;VLOOKUP($BR$5,TERRA!$A:$B,2,0)&amp;"mm²"),"")</f>
        <v/>
      </c>
      <c r="BT102" s="110"/>
      <c r="BU102" s="2"/>
    </row>
    <row r="103" spans="1:73" ht="36.5" thickBot="1" x14ac:dyDescent="0.4">
      <c r="A103" s="106">
        <v>99</v>
      </c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  <c r="AF103" s="107"/>
      <c r="AG103" s="107"/>
      <c r="AH103" s="107"/>
      <c r="AI103" s="107"/>
      <c r="AJ103" s="107"/>
      <c r="AK103" s="107"/>
      <c r="AL103" s="107"/>
      <c r="AM103" s="107"/>
      <c r="AN103" s="107">
        <v>3</v>
      </c>
      <c r="AO103" s="107"/>
      <c r="AP103" s="101" t="str">
        <f>IF(SUMPRODUCT(B103:AO103, B$4:AO$4)=0, "", SUMPRODUCT(B103:AO103, B$4:AO$4))</f>
        <v/>
      </c>
      <c r="AQ103" s="108" t="str">
        <f t="shared" si="15"/>
        <v/>
      </c>
      <c r="AR103" s="109" t="str">
        <f t="shared" si="22"/>
        <v/>
      </c>
      <c r="AS103" s="107"/>
      <c r="AT103" s="170"/>
      <c r="AU103" s="107"/>
      <c r="AV103" s="107"/>
      <c r="AW103" s="107"/>
      <c r="AX103" s="107"/>
      <c r="AY103" s="172" t="s">
        <v>278</v>
      </c>
      <c r="AZ103" s="172" t="s">
        <v>262</v>
      </c>
      <c r="BA103" s="172" t="e">
        <f>INDEX(AGRUPAMENTO!C101:N105,MATCH(AY103,AGRUPAMENTO!B101:B105,0),MATCH(AZ103,AGRUPAMENTO!C100:N100,0))</f>
        <v>#N/A</v>
      </c>
      <c r="BB103" s="174" t="s">
        <v>254</v>
      </c>
      <c r="BC103" s="176">
        <v>30</v>
      </c>
      <c r="BD103" s="172" t="e">
        <f>IF(BB103="SUBTERRÂNEA",IF(AV103="PVC",VLOOKUP(BC103,TEMPERATURA!G100:H114,2,0),VLOOKUP(BC103,TEMPERATURA!G100:I114,3,0)),IF(AV103="PVC",VLOOKUP(BC103,TEMPERATURA!B100:C114,2,0),VLOOKUP(BC103,TEMPERATURA!B100:D114,3,0)))</f>
        <v>#N/A</v>
      </c>
      <c r="BE103" s="102" t="str">
        <f t="shared" si="16"/>
        <v/>
      </c>
      <c r="BF103" s="108" t="str">
        <f t="shared" si="17"/>
        <v/>
      </c>
      <c r="BG103" s="102" t="e">
        <f t="shared" si="23"/>
        <v>#VALUE!</v>
      </c>
      <c r="BH103" s="108">
        <f t="shared" si="24"/>
        <v>1</v>
      </c>
      <c r="BI103" s="173" t="str">
        <f>IF(AP103="","",
   IF(COUNTA(V103:AE103)&gt;=1,
      MAX(IFERROR(_xlfn.AGGREGATE(15,6,DISJUNTORES!$C$2:$C$100/(DISJUNTORES!$C$2:$C$100&gt;=BF103),1),""),25),
   IF(COUNTA(L103:U103)&gt;=1,
      MAX(IFERROR(_xlfn.AGGREGATE(15,6,DISJUNTORES!$C$2:$C$100/(DISJUNTORES!$C$2:$C$100&gt;=BF103),1),""),20),
   IF(COUNTA(A103:K103)&gt;=1,
      MAX(IFERROR(_xlfn.AGGREGATE(15,6,DISJUNTORES!$C$2:$C$100/(DISJUNTORES!$C$2:$C$100&gt;=BF103),1),""),16),
   IFERROR(_xlfn.AGGREGATE(15,6,DISJUNTORES!$C$2:$C$100/(DISJUNTORES!$C$2:$C$100&gt;=BF103),1),"")))))</f>
        <v/>
      </c>
      <c r="BJ103" s="107" t="s">
        <v>232</v>
      </c>
      <c r="BK103" s="107"/>
      <c r="BL103" s="107"/>
      <c r="BM103" s="109" t="e">
        <f t="shared" si="25"/>
        <v>#VALUE!</v>
      </c>
      <c r="BN103" s="109" t="str">
        <f t="shared" si="19"/>
        <v/>
      </c>
      <c r="BO103" s="109" t="str">
        <f t="shared" si="20"/>
        <v/>
      </c>
      <c r="BP103" s="104" t="str" cm="1">
        <f t="array" ref="BP103">IFERROR(
    INDEX(
        IF(AV103="PVC", 'CAP CONDUÇÃO 70º'!$A:$A, 'CAP CONDUÇÃO 90º'!$A:$A),
        IF(
            COUNTIF(
                IF(AV103="PVC",
                   CHOOSE(
                       MATCH(AU103,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MATCH(AU103,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BI103
            ) &gt; 0,
            MATCH(BI103,
                IF(AV103="PVC",
                   CHOOSE(
                       MATCH(AU103,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MATCH(AU103,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MATCH(BI103,
                IF(AV103="PVC",
                   CHOOSE(
                       MATCH(AU103,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MATCH(AU103,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103" s="166"/>
      <c r="BR103" s="166"/>
      <c r="BS103" s="165" t="str">
        <f ca="1">IFERROR(IF(BP103="","","3F#"&amp;BR103&amp;"mm²+N"&amp;VLOOKUP($BR$5,NEUTRO!$A:$B,2,0)&amp;"mm²+T"&amp;VLOOKUP($BR$5,TERRA!$A:$B,2,0)&amp;"mm²"),"")</f>
        <v/>
      </c>
      <c r="BT103" s="110"/>
      <c r="BU103" s="2"/>
    </row>
    <row r="104" spans="1:73" ht="36.5" thickBot="1" x14ac:dyDescent="0.4">
      <c r="A104" s="106">
        <v>100</v>
      </c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7"/>
      <c r="AG104" s="107"/>
      <c r="AH104" s="107"/>
      <c r="AI104" s="107"/>
      <c r="AJ104" s="107"/>
      <c r="AK104" s="107"/>
      <c r="AL104" s="107"/>
      <c r="AM104" s="107"/>
      <c r="AN104" s="107">
        <v>1</v>
      </c>
      <c r="AO104" s="107"/>
      <c r="AP104" s="101" t="str">
        <f>IF(SUMPRODUCT(B104:AO104, B$4:AO$4)=0, "", SUMPRODUCT(B104:AO104, B$4:AO$4))</f>
        <v/>
      </c>
      <c r="AQ104" s="108" t="str">
        <f t="shared" si="15"/>
        <v/>
      </c>
      <c r="AR104" s="109" t="str">
        <f t="shared" si="22"/>
        <v/>
      </c>
      <c r="AS104" s="107"/>
      <c r="AT104" s="170"/>
      <c r="AU104" s="107"/>
      <c r="AV104" s="107"/>
      <c r="AW104" s="107"/>
      <c r="AX104" s="107"/>
      <c r="AY104" s="172" t="s">
        <v>278</v>
      </c>
      <c r="AZ104" s="172" t="s">
        <v>262</v>
      </c>
      <c r="BA104" s="172" t="e">
        <f>INDEX(AGRUPAMENTO!C102:N106,MATCH(AY104,AGRUPAMENTO!B102:B106,0),MATCH(AZ104,AGRUPAMENTO!C101:N101,0))</f>
        <v>#N/A</v>
      </c>
      <c r="BB104" s="174" t="s">
        <v>254</v>
      </c>
      <c r="BC104" s="176">
        <v>30</v>
      </c>
      <c r="BD104" s="172" t="e">
        <f>IF(BB104="SUBTERRÂNEA",IF(AV104="PVC",VLOOKUP(BC104,TEMPERATURA!G101:H115,2,0),VLOOKUP(BC104,TEMPERATURA!G101:I115,3,0)),IF(AV104="PVC",VLOOKUP(BC104,TEMPERATURA!B101:C115,2,0),VLOOKUP(BC104,TEMPERATURA!B101:D115,3,0)))</f>
        <v>#N/A</v>
      </c>
      <c r="BE104" s="102" t="str">
        <f t="shared" si="16"/>
        <v/>
      </c>
      <c r="BF104" s="108" t="str">
        <f t="shared" si="17"/>
        <v/>
      </c>
      <c r="BG104" s="102" t="e">
        <f t="shared" si="23"/>
        <v>#VALUE!</v>
      </c>
      <c r="BH104" s="108">
        <f t="shared" si="24"/>
        <v>1</v>
      </c>
      <c r="BI104" s="173" t="str">
        <f>IF(AP104="","",
   IF(COUNTA(V104:AE104)&gt;=1,
      MAX(IFERROR(_xlfn.AGGREGATE(15,6,DISJUNTORES!$C$2:$C$100/(DISJUNTORES!$C$2:$C$100&gt;=BF104),1),""),25),
   IF(COUNTA(L104:U104)&gt;=1,
      MAX(IFERROR(_xlfn.AGGREGATE(15,6,DISJUNTORES!$C$2:$C$100/(DISJUNTORES!$C$2:$C$100&gt;=BF104),1),""),20),
   IF(COUNTA(A104:K104)&gt;=1,
      MAX(IFERROR(_xlfn.AGGREGATE(15,6,DISJUNTORES!$C$2:$C$100/(DISJUNTORES!$C$2:$C$100&gt;=BF104),1),""),16),
   IFERROR(_xlfn.AGGREGATE(15,6,DISJUNTORES!$C$2:$C$100/(DISJUNTORES!$C$2:$C$100&gt;=BF104),1),"")))))</f>
        <v/>
      </c>
      <c r="BJ104" s="107" t="s">
        <v>232</v>
      </c>
      <c r="BK104" s="107"/>
      <c r="BL104" s="107"/>
      <c r="BM104" s="109" t="e">
        <f t="shared" si="25"/>
        <v>#VALUE!</v>
      </c>
      <c r="BN104" s="109" t="str">
        <f t="shared" si="19"/>
        <v/>
      </c>
      <c r="BO104" s="109" t="str">
        <f t="shared" si="20"/>
        <v/>
      </c>
      <c r="BP104" s="104" t="str" cm="1">
        <f t="array" ref="BP104">IFERROR(
    INDEX(
        IF(AV104="PVC", 'CAP CONDUÇÃO 70º'!$A:$A, 'CAP CONDUÇÃO 90º'!$A:$A),
        IF(
            COUNTIF(
                IF(AV104="PVC",
                   CHOOSE(
                       MATCH(AU104,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MATCH(AU104,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    BI104
            ) &gt; 0,
            MATCH(BI104,
                IF(AV104="PVC",
                   CHOOSE(
                       MATCH(AU104,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MATCH(AU104,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0
            ),
            MATCH(BI104,
                IF(AV104="PVC",
                   CHOOSE(
                       MATCH(AU104, {"A1 - 2";"A1 - 3";"A2 - 2";"A2 - 3";"B1 - 2";"B1 - 3";"B2 - 2";"B2 - 3";"C - 2";"C - 3";"D - 2";"D - 3";"E - 2";"E - 3";"F - 2";"F - 3TRI";"F - 3JUST";"G - 3HOR";"G - 3VER"}, 0),
                       'CAP CONDUÇÃO 70º'!$B:$B, 'CAP CONDUÇÃO 70º'!$C:$C, 'CAP CONDUÇÃO 70º'!$D:$D, 'CAP CONDUÇÃO 70º'!$E:$E, 'CAP CONDUÇÃO 70º'!$F:$F, 'CAP CONDUÇÃO 70º'!$G:$G, 'CAP CONDUÇÃO 70º'!$H:$H, 'CAP CONDUÇÃO 70º'!$I:$I, 'CAP CONDUÇÃO 70º'!$J:$J, 'CAP CONDUÇÃO 70º'!$K:$K, 'CAP CONDUÇÃO 70º'!$L:$L, 'CAP CONDUÇÃO 70º'!$M:$M, 'CAP CONDUÇÃO 70º'!$N:$N, 'CAP CONDUÇÃO 70º'!$O:$O, 'CAP CONDUÇÃO 70º'!$P:$P, 'CAP CONDUÇÃO 70º'!$Q:$Q, 'CAP CONDUÇÃO 70º'!$R:$R, 'CAP CONDUÇÃO 70º'!$S:$S, 'CAP CONDUÇÃO 70º'!$T:$T
                   ),
                   CHOOSE(
                       MATCH(AU104, {"A1 - 2";"A1 - 3";"A2 - 2";"A2 - 3";"B1 - 2";"B1 - 3";"B2 - 2";"B2 - 3";"C - 2";"C - 3";"D - 2";"D - 3";"E - 2";"E - 3";"F - 2";"F - 3TRI";"F - 3JUST";"G - 3HOR";"G - 3VER"}, 0),
                       'CAP CONDUÇÃO 90º'!$B:$B, 'CAP CONDUÇÃO 90º'!$C:$C, 'CAP CONDUÇÃO 90º'!$D:$D, 'CAP CONDUÇÃO 90º'!$E:$E, 'CAP CONDUÇÃO 90º'!$F:$F, 'CAP CONDUÇÃO 90º'!$G:$G, 'CAP CONDUÇÃO 90º'!$H:$H, 'CAP CONDUÇÃO 90º'!$I:$I, 'CAP CONDUÇÃO 90º'!$J:$J, 'CAP CONDUÇÃO 90º'!$K:$K, 'CAP CONDUÇÃO 90º'!$L:$L, 'CAP CONDUÇÃO 90º'!$M:$M, 'CAP CONDUÇÃO 90º'!$N:$N, 'CAP CONDUÇÃO 90º'!$O:$O, 'CAP CONDUÇÃO 90º'!$P:$P, 'CAP CONDUÇÃO 90º'!$Q:$Q, 'CAP CONDUÇÃO 90º'!$R:$R, 'CAP CONDUÇÃO 90º'!$S:$S, 'CAP CONDUÇÃO 90º'!$T:$T
                   )
                ),
            1
            ) + 1
        )
    ),
    "Não há valor maior ou igual"
)</f>
        <v>Não há valor maior ou igual</v>
      </c>
      <c r="BQ104" s="166"/>
      <c r="BR104" s="166"/>
      <c r="BS104" s="165" t="str">
        <f ca="1">IFERROR(IF(BP104="","","3F#"&amp;BR104&amp;"mm²+N"&amp;VLOOKUP($BR$5,NEUTRO!$A:$B,2,0)&amp;"mm²+T"&amp;VLOOKUP($BR$5,TERRA!$A:$B,2,0)&amp;"mm²"),"")</f>
        <v/>
      </c>
      <c r="BT104" s="110"/>
      <c r="BU104" s="2"/>
    </row>
    <row r="105" spans="1:73" ht="36.5" thickBot="1" x14ac:dyDescent="0.4">
      <c r="A105" s="91" t="s">
        <v>58</v>
      </c>
      <c r="B105" s="92" t="str">
        <f t="shared" ref="B105:AP105" si="26">IF((SUM(B5:B104))=0,"",SUM(B5:B104))</f>
        <v/>
      </c>
      <c r="C105" s="92" t="str">
        <f t="shared" si="26"/>
        <v/>
      </c>
      <c r="D105" s="92" t="str">
        <f t="shared" si="26"/>
        <v/>
      </c>
      <c r="E105" s="92" t="str">
        <f t="shared" si="26"/>
        <v/>
      </c>
      <c r="F105" s="92" t="str">
        <f t="shared" si="26"/>
        <v/>
      </c>
      <c r="G105" s="92" t="str">
        <f t="shared" si="26"/>
        <v/>
      </c>
      <c r="H105" s="92" t="str">
        <f t="shared" si="26"/>
        <v/>
      </c>
      <c r="I105" s="92" t="str">
        <f t="shared" si="26"/>
        <v/>
      </c>
      <c r="J105" s="92" t="str">
        <f t="shared" si="26"/>
        <v/>
      </c>
      <c r="K105" s="92" t="str">
        <f t="shared" si="26"/>
        <v/>
      </c>
      <c r="L105" s="92" t="str">
        <f t="shared" si="26"/>
        <v/>
      </c>
      <c r="M105" s="92" t="str">
        <f t="shared" si="26"/>
        <v/>
      </c>
      <c r="N105" s="92" t="str">
        <f t="shared" si="26"/>
        <v/>
      </c>
      <c r="O105" s="92" t="str">
        <f t="shared" si="26"/>
        <v/>
      </c>
      <c r="P105" s="92" t="str">
        <f t="shared" si="26"/>
        <v/>
      </c>
      <c r="Q105" s="92" t="str">
        <f t="shared" si="26"/>
        <v/>
      </c>
      <c r="R105" s="92" t="str">
        <f t="shared" si="26"/>
        <v/>
      </c>
      <c r="S105" s="92" t="str">
        <f t="shared" si="26"/>
        <v/>
      </c>
      <c r="T105" s="92" t="str">
        <f t="shared" si="26"/>
        <v/>
      </c>
      <c r="U105" s="92" t="str">
        <f t="shared" si="26"/>
        <v/>
      </c>
      <c r="V105" s="92" t="str">
        <f t="shared" si="26"/>
        <v/>
      </c>
      <c r="W105" s="92" t="str">
        <f t="shared" si="26"/>
        <v/>
      </c>
      <c r="X105" s="92" t="str">
        <f t="shared" si="26"/>
        <v/>
      </c>
      <c r="Y105" s="92" t="str">
        <f t="shared" si="26"/>
        <v/>
      </c>
      <c r="Z105" s="92" t="str">
        <f t="shared" si="26"/>
        <v/>
      </c>
      <c r="AA105" s="92" t="str">
        <f t="shared" si="26"/>
        <v/>
      </c>
      <c r="AB105" s="92" t="str">
        <f t="shared" si="26"/>
        <v/>
      </c>
      <c r="AC105" s="92" t="str">
        <f t="shared" si="26"/>
        <v/>
      </c>
      <c r="AD105" s="92" t="str">
        <f t="shared" si="26"/>
        <v/>
      </c>
      <c r="AE105" s="92" t="str">
        <f t="shared" si="26"/>
        <v/>
      </c>
      <c r="AF105" s="92" t="str">
        <f t="shared" si="26"/>
        <v/>
      </c>
      <c r="AG105" s="92" t="str">
        <f t="shared" si="26"/>
        <v/>
      </c>
      <c r="AH105" s="92" t="str">
        <f t="shared" si="26"/>
        <v/>
      </c>
      <c r="AI105" s="92" t="str">
        <f t="shared" si="26"/>
        <v/>
      </c>
      <c r="AJ105" s="92" t="str">
        <f t="shared" si="26"/>
        <v/>
      </c>
      <c r="AK105" s="92" t="str">
        <f t="shared" si="26"/>
        <v/>
      </c>
      <c r="AL105" s="92" t="str">
        <f t="shared" si="26"/>
        <v/>
      </c>
      <c r="AM105" s="92" t="str">
        <f t="shared" si="26"/>
        <v/>
      </c>
      <c r="AN105" s="92">
        <f t="shared" si="26"/>
        <v>10</v>
      </c>
      <c r="AO105" s="92">
        <f t="shared" si="26"/>
        <v>6</v>
      </c>
      <c r="AP105" s="111">
        <f t="shared" si="26"/>
        <v>60000</v>
      </c>
      <c r="AQ105" s="112">
        <f>IF(AP105="","",AP105/AR105)</f>
        <v>1</v>
      </c>
      <c r="AR105" s="113">
        <f>IF((SUM(AR5:AR104))=0,"",SUM(AR5:AR104))</f>
        <v>60000</v>
      </c>
      <c r="AS105" s="92"/>
      <c r="AT105" s="171"/>
      <c r="AU105" s="171"/>
      <c r="AV105" s="92"/>
      <c r="AW105" s="92"/>
      <c r="AX105" s="92"/>
      <c r="AY105" s="172" t="s">
        <v>278</v>
      </c>
      <c r="AZ105" s="172" t="s">
        <v>262</v>
      </c>
      <c r="BA105" s="172" t="e">
        <f>INDEX(AGRUPAMENTO!C103:N107,MATCH(AY105,AGRUPAMENTO!B103:B107,0),MATCH(AZ105,AGRUPAMENTO!C102:N102,0))</f>
        <v>#N/A</v>
      </c>
      <c r="BB105" s="174" t="s">
        <v>254</v>
      </c>
      <c r="BC105" s="176">
        <v>30</v>
      </c>
      <c r="BD105" s="172" t="e">
        <f>IF(BB105="SUBTERRÂNEA",IF(AV105="PVC",VLOOKUP(BC105,TEMPERATURA!G102:H116,2,0),VLOOKUP(BC105,TEMPERATURA!G102:I116,3,0)),IF(AV105="PVC",VLOOKUP(BC105,TEMPERATURA!B102:C116,2,0),VLOOKUP(BC105,TEMPERATURA!B102:D116,3,0)))</f>
        <v>#N/A</v>
      </c>
      <c r="BE105" s="102">
        <f t="shared" si="16"/>
        <v>220</v>
      </c>
      <c r="BF105" s="111" t="e">
        <f>IF(SUM(AR105:BE105)=0,"",ROUND(BP107/IF(BH105=1,127,IF(BH105=2,220,IF(BH105=3,381,""))),1))</f>
        <v>#N/A</v>
      </c>
      <c r="BG105" s="102" t="e">
        <f t="shared" si="23"/>
        <v>#N/A</v>
      </c>
      <c r="BH105" s="111">
        <f>IF(COUNTA(BJ105:BL105)=0,"",COUNTA(BJ105:BL105))</f>
        <v>2</v>
      </c>
      <c r="BI105" s="160" t="e">
        <f>IF(AR105="","",VLOOKUP($BF$105,DISJUNTORES!$B:$C,2,1))</f>
        <v>#N/A</v>
      </c>
      <c r="BJ105" s="92" t="s">
        <v>232</v>
      </c>
      <c r="BK105" s="92" t="s">
        <v>232</v>
      </c>
      <c r="BL105" s="92"/>
      <c r="BM105" s="113" t="e">
        <f>IF(SUM(BM5:BM104)=0,"",SUM(BM5:BM104))</f>
        <v>#VALUE!</v>
      </c>
      <c r="BN105" s="113" t="str">
        <f>IF(SUM(BN5:BN104)=0,"",SUM(BN5:BN104))</f>
        <v/>
      </c>
      <c r="BO105" s="113" t="str">
        <f>IF(SUM(BO5:BO104)=0,"",SUM(BO5:BO104))</f>
        <v/>
      </c>
      <c r="BP105" s="89" t="str">
        <f>IF(MAX(BJ107:BL110)=0,"",MAX(BJ107:BL110))</f>
        <v/>
      </c>
      <c r="BQ105" s="167"/>
      <c r="BR105" s="167"/>
      <c r="BS105" s="165"/>
      <c r="BT105" s="114" t="s">
        <v>70</v>
      </c>
    </row>
    <row r="106" spans="1:73" ht="15" customHeight="1" x14ac:dyDescent="0.35">
      <c r="A106" s="210" t="s">
        <v>97</v>
      </c>
      <c r="B106" s="210"/>
      <c r="C106" s="210"/>
      <c r="D106" s="210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  <c r="AA106" s="210"/>
      <c r="AB106" s="210"/>
      <c r="AC106" s="210"/>
      <c r="AD106" s="210"/>
      <c r="AE106" s="210"/>
      <c r="AF106" s="210"/>
      <c r="AG106" s="210"/>
      <c r="AH106" s="210"/>
      <c r="AI106" s="210"/>
      <c r="AJ106" s="210"/>
      <c r="AK106" s="210"/>
      <c r="AL106" s="210"/>
      <c r="AM106" s="210"/>
      <c r="AN106" s="210"/>
      <c r="AO106" s="210"/>
      <c r="AP106" s="210"/>
      <c r="AQ106" s="210"/>
      <c r="AR106" s="211"/>
      <c r="AS106" s="157"/>
      <c r="AT106" s="157"/>
      <c r="AU106" s="158"/>
      <c r="AV106" s="158"/>
      <c r="AW106" s="158"/>
      <c r="AX106" s="158"/>
      <c r="AY106" s="158"/>
      <c r="AZ106" s="158"/>
      <c r="BA106" s="158"/>
      <c r="BB106" s="158"/>
      <c r="BC106" s="158"/>
      <c r="BD106" s="158"/>
      <c r="BE106" s="189" t="s">
        <v>93</v>
      </c>
      <c r="BF106" s="190"/>
      <c r="BG106" s="190"/>
      <c r="BH106" s="190"/>
      <c r="BI106" s="121" t="str">
        <f>IFERROR((MAX(BM105:BO105)-MIN(BM105:BO105))/MIN(BM105:BO105),"")</f>
        <v/>
      </c>
      <c r="BJ106" s="115">
        <f>IF(COUNTA(BJ5:BJ104)=0,"",COUNTA(BJ5:BJ104))</f>
        <v>7</v>
      </c>
      <c r="BK106" s="116" t="str">
        <f>IF(COUNTA(BK5:BK104)=0,"",COUNTA(BK5:BK104))</f>
        <v/>
      </c>
      <c r="BL106" s="117" t="str">
        <f>IF(COUNTA(BL5:BL104)=0,"",COUNTA(BL5:BL104))</f>
        <v/>
      </c>
      <c r="BM106" s="189" t="s">
        <v>13</v>
      </c>
      <c r="BN106" s="190"/>
      <c r="BO106" s="190"/>
      <c r="BP106" s="194">
        <f>COUNTIF(BT5:BT104,"RESERVA")*1000</f>
        <v>0</v>
      </c>
      <c r="BQ106" s="195"/>
      <c r="BR106" s="195"/>
      <c r="BS106" s="195"/>
      <c r="BT106" s="196"/>
      <c r="BU106" s="2"/>
    </row>
    <row r="107" spans="1:73" ht="15" customHeight="1" x14ac:dyDescent="0.35">
      <c r="A107" s="212"/>
      <c r="B107" s="212"/>
      <c r="C107" s="212"/>
      <c r="D107" s="212"/>
      <c r="E107" s="212"/>
      <c r="F107" s="212"/>
      <c r="G107" s="212"/>
      <c r="H107" s="212"/>
      <c r="I107" s="212"/>
      <c r="J107" s="212"/>
      <c r="K107" s="212"/>
      <c r="L107" s="212"/>
      <c r="M107" s="212"/>
      <c r="N107" s="212"/>
      <c r="O107" s="212"/>
      <c r="P107" s="212"/>
      <c r="Q107" s="212"/>
      <c r="R107" s="212"/>
      <c r="S107" s="212"/>
      <c r="T107" s="212"/>
      <c r="U107" s="212"/>
      <c r="V107" s="212"/>
      <c r="W107" s="212"/>
      <c r="X107" s="212"/>
      <c r="Y107" s="212"/>
      <c r="Z107" s="212"/>
      <c r="AA107" s="212"/>
      <c r="AB107" s="212"/>
      <c r="AC107" s="212"/>
      <c r="AD107" s="212"/>
      <c r="AE107" s="212"/>
      <c r="AF107" s="212"/>
      <c r="AG107" s="212"/>
      <c r="AH107" s="212"/>
      <c r="AI107" s="212"/>
      <c r="AJ107" s="212"/>
      <c r="AK107" s="212"/>
      <c r="AL107" s="212"/>
      <c r="AM107" s="212"/>
      <c r="AN107" s="212"/>
      <c r="AO107" s="212"/>
      <c r="AP107" s="212"/>
      <c r="AQ107" s="212"/>
      <c r="AR107" s="213"/>
      <c r="AS107" s="158"/>
      <c r="AT107" s="158"/>
      <c r="AU107" s="158"/>
      <c r="AV107" s="158"/>
      <c r="AW107" s="158"/>
      <c r="AX107" s="158"/>
      <c r="AY107" s="158"/>
      <c r="AZ107" s="158"/>
      <c r="BA107" s="158"/>
      <c r="BB107" s="158"/>
      <c r="BC107" s="158"/>
      <c r="BD107" s="158"/>
      <c r="BE107" s="202" t="s">
        <v>88</v>
      </c>
      <c r="BF107" s="203"/>
      <c r="BG107" s="203"/>
      <c r="BH107" s="203"/>
      <c r="BI107" s="122">
        <v>1</v>
      </c>
      <c r="BJ107" s="118" t="str">
        <f>IFERROR(IF(IF(BI108="A1",VLOOKUP(BI105*1.1,'CAP CONDUÇÃO 90º'!$C:$U,19,1),IF(BI108="A2",VLOOKUP(BI105*1.1,'CAP CONDUÇÃO 90º'!$E:$U,17,1),IF(BI108="B1",VLOOKUP(BI105*1.1,'CAP CONDUÇÃO 90º'!$G:$U,15,1),IF(BI108="B2",VLOOKUP(BI105*1.1,'CAP CONDUÇÃO 90º'!$I:$U,13,1),IF(BI108="C",VLOOKUP(BI105*1.1,'CAP CONDUÇÃO 90º'!$K:$U,11,1),IF(BI108="D",VLOOKUP(BI105*1.1,'CAP CONDUÇÃO 90º'!$M:$U,9,1),IF(BI108="E",VLOOKUP(BI105*1.1,'CAP CONDUÇÃO 90º'!$O:$U,7,1),IF(BI108="F",VLOOKUP(BI105*1.1,'CAP CONDUÇÃO 90º'!$R:$U,4,1),IF(BI108="G",VLOOKUP(BI105*1.1,'CAP CONDUÇÃO 90º'!$S:$U,3,1),"")))))))))&lt;2.5,2.5,IF(BI108="A1",VLOOKUP(BI105*1.1,'CAP CONDUÇÃO 90º'!$C:$U,19,1),IF(BI108="A2",VLOOKUP(BI105*1.1,'CAP CONDUÇÃO 90º'!$E:$U,17,1),IF(BI108="B1",VLOOKUP(BI105*1.1,'CAP CONDUÇÃO 90º'!$G:$U,15,1),IF(BI108="B2",VLOOKUP(BI105*1.1,'CAP CONDUÇÃO 90º'!$I:$U,13,1),IF(BI108="C",VLOOKUP(BI105*1.1,'CAP CONDUÇÃO 90º'!$K:$U,11,1),IF(BI108="D",VLOOKUP(BI105*1.1,'CAP CONDUÇÃO 90º'!$M:$U,9,1),IF(BI108="E",VLOOKUP(BI105*1.1,'CAP CONDUÇÃO 90º'!$O:$U,7,1),IF(BI108="F",VLOOKUP(BI105*1.1,'CAP CONDUÇÃO 90º'!$R:$U,4,1),IF(BI108="G",VLOOKUP(BI105*1.1,'CAP CONDUÇÃO 90º'!$S:$U,3,1),"")))))))))),"")</f>
        <v/>
      </c>
      <c r="BK107" s="119" t="str">
        <f>IFERROR(IF(BJ108&gt;BI110,IF(IF(BI108="A1",VLOOKUP(BI105*1.1,'CAP CONDUÇÃO 90º'!$C:$V,20,1),IF(BI108="A2",VLOOKUP(BI105*1.1,'CAP CONDUÇÃO 90º'!$E:$V,18,1),IF(BI108="B1",VLOOKUP(BI105*1.1,'CAP CONDUÇÃO 90º'!$G:$V,16,1),IF(BI108="B2",VLOOKUP(BI105*1.1,'CAP CONDUÇÃO 90º'!$I:$V,14,1),IF(BI108="C",VLOOKUP(BI105*1.1,'CAP CONDUÇÃO 90º'!$K:$V,12,1),IF(BI108="D",VLOOKUP(BI105*1.1,'CAP CONDUÇÃO 90º'!$M:$V,10,1),IF(BI108="E",VLOOKUP(BI105*1.1,'CAP CONDUÇÃO 90º'!$O:$V,8,1),IF(BI108="F",VLOOKUP(BI105*1.1,'CAP CONDUÇÃO 90º'!$R:$V,5,1),IF(BI108="G",VLOOKUP(BI105*1.1,'CAP CONDUÇÃO 90º'!$S:$V,4,1),"")))))))))&lt;2.5,2.5,IF(BI108="A1",VLOOKUP(BI105*1.1,'CAP CONDUÇÃO 90º'!$C:$V,20,1),IF(BI108="A2",VLOOKUP(BI105*1.1,'CAP CONDUÇÃO 90º'!$E:$V,18,1),IF(BI108="B1",VLOOKUP(BI105*1.1,'CAP CONDUÇÃO 90º'!$G:$V,16,1),IF(BI108="B2",VLOOKUP(BI105*1.1,'CAP CONDUÇÃO 90º'!$I:$V,14,1),IF(BI108="C",VLOOKUP(BI105*1.1,'CAP CONDUÇÃO 90º'!$K:$V,12,1),IF(BI108="D",VLOOKUP(BI105*1.1,'CAP CONDUÇÃO 90º'!$M:$V,10,1),IF(BI108="E",VLOOKUP(BI105*1.1,'CAP CONDUÇÃO 90º'!$O:$V,8,1),IF(BI108="F",VLOOKUP(BI105*1.1,'CAP CONDUÇÃO 90º'!$R:$V,5,1),IF(BI108="G",VLOOKUP(BI105*1.1,'CAP CONDUÇÃO 90º'!$S:$V,4,1),"")))))))))),BJ107),"")</f>
        <v/>
      </c>
      <c r="BL107" s="120" t="str">
        <f>IFERROR(IF(BK108&gt;BI110,IF(IF(BI108="A1",VLOOKUP(BI105*1.1,'CAP CONDUÇÃO 90º'!$C:$W,21,1),IF(BI108="A2",VLOOKUP(BI105*1.1,'CAP CONDUÇÃO 90º'!$E:$W,19,1),IF(BI108="B1",VLOOKUP(BI105*1.1,'CAP CONDUÇÃO 90º'!$G:$W,17,1),IF(BI108="B2",VLOOKUP(BI105*1.1,'CAP CONDUÇÃO 90º'!$I:$W,15,1),IF(BI108="C",VLOOKUP(BI105*1.1,'CAP CONDUÇÃO 90º'!$K:$W,13,1),IF(BI108="D",VLOOKUP(BI105*1.1,'CAP CONDUÇÃO 90º'!$M:$W,11,1),IF(BI108="E",VLOOKUP(BI105*1.1,'CAP CONDUÇÃO 90º'!$O:$W,9,1),IF(BI108="F",VLOOKUP(BI105*1.1,'CAP CONDUÇÃO 90º'!$R:$W,6,1),IF(BI108="G",VLOOKUP(BI105*1.1,'CAP CONDUÇÃO 90º'!$S:$W,5,1),"")))))))))&lt;2.5,2.5,IF(BI108="A1",VLOOKUP(BI105*1.1,'CAP CONDUÇÃO 90º'!$C:$W,21,1),IF(BI108="A2",VLOOKUP(BI105*1.1,'CAP CONDUÇÃO 90º'!$E:$W,19,1),IF(BI108="B1",VLOOKUP(BI105*1.1,'CAP CONDUÇÃO 90º'!$G:$W,17,1),IF(BI108="B2",VLOOKUP(BI105*1.1,'CAP CONDUÇÃO 90º'!$I:$W,15,1),IF(BI108="C",VLOOKUP(BI105*1.1,'CAP CONDUÇÃO 90º'!$K:$W,13,1),IF(BI108="D",VLOOKUP(BI105*1.1,'CAP CONDUÇÃO 90º'!$M:$W,11,1),IF(BI108="E",VLOOKUP(BI105*1.1,'CAP CONDUÇÃO 90º'!$O:$W,9,1),IF(BI108="F",VLOOKUP(BI105*1.1,'CAP CONDUÇÃO 90º'!$R:$W,6,1),IF(BI108="G",VLOOKUP(BI105*1.1,'CAP CONDUÇÃO 90º'!$S:$W,5,1),"")))))))))),BK107),"")</f>
        <v/>
      </c>
      <c r="BM107" s="202" t="s">
        <v>96</v>
      </c>
      <c r="BN107" s="203"/>
      <c r="BO107" s="203"/>
      <c r="BP107" s="204">
        <f>IFERROR((AR105+BP106)*BI107,"")</f>
        <v>60000</v>
      </c>
      <c r="BQ107" s="205"/>
      <c r="BR107" s="205"/>
      <c r="BS107" s="205"/>
      <c r="BT107" s="206"/>
      <c r="BU107" s="2"/>
    </row>
    <row r="108" spans="1:73" ht="15" customHeight="1" x14ac:dyDescent="0.35">
      <c r="A108" s="212"/>
      <c r="B108" s="212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2"/>
      <c r="O108" s="212"/>
      <c r="P108" s="212"/>
      <c r="Q108" s="212"/>
      <c r="R108" s="212"/>
      <c r="S108" s="212"/>
      <c r="T108" s="212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2"/>
      <c r="AG108" s="212"/>
      <c r="AH108" s="212"/>
      <c r="AI108" s="212"/>
      <c r="AJ108" s="212"/>
      <c r="AK108" s="212"/>
      <c r="AL108" s="212"/>
      <c r="AM108" s="212"/>
      <c r="AN108" s="212"/>
      <c r="AO108" s="212"/>
      <c r="AP108" s="212"/>
      <c r="AQ108" s="212"/>
      <c r="AR108" s="213"/>
      <c r="AS108" s="158"/>
      <c r="AT108" s="158"/>
      <c r="AU108" s="158"/>
      <c r="AV108" s="158"/>
      <c r="AW108" s="158"/>
      <c r="AX108" s="158"/>
      <c r="AY108" s="158"/>
      <c r="AZ108" s="158"/>
      <c r="BA108" s="158"/>
      <c r="BB108" s="158"/>
      <c r="BC108" s="158"/>
      <c r="BD108" s="158"/>
      <c r="BE108" s="202" t="s">
        <v>80</v>
      </c>
      <c r="BF108" s="203"/>
      <c r="BG108" s="203"/>
      <c r="BH108" s="203"/>
      <c r="BI108" s="123" t="s">
        <v>231</v>
      </c>
      <c r="BJ108" s="152" t="str">
        <f>IFERROR(100*SQRT(3)*$BI$109*$BF$105*(1/56)/($BJ$107*$BE$105),"")</f>
        <v/>
      </c>
      <c r="BK108" s="153" t="str">
        <f>IFERROR(100*SQRT(3)*$BI$109*$BF$105*(1/56)/($BK$107*$BE$105),"")</f>
        <v/>
      </c>
      <c r="BL108" s="154" t="str">
        <f>IFERROR(100*SQRT(3)*$BI$109*$BF$105*(1/56)/($BL$107*$BE$105),"")</f>
        <v/>
      </c>
      <c r="BM108" s="202" t="s">
        <v>72</v>
      </c>
      <c r="BN108" s="203"/>
      <c r="BO108" s="203"/>
      <c r="BP108" s="207" t="str">
        <f>IFERROR(IF(BP105="","","3F#"&amp;BP105&amp;"mm²+N"&amp;VLOOKUP($BP$105,NEUTRO!$A:$B,2,0)&amp;"mm²+T"&amp;VLOOKUP($BP$105,TERRA!$A:$B,2,0)&amp;"mm²"),"")</f>
        <v/>
      </c>
      <c r="BQ108" s="208"/>
      <c r="BR108" s="208"/>
      <c r="BS108" s="208"/>
      <c r="BT108" s="209"/>
      <c r="BU108" s="2"/>
    </row>
    <row r="109" spans="1:73" ht="15.75" customHeight="1" x14ac:dyDescent="0.35">
      <c r="A109" s="212"/>
      <c r="B109" s="212"/>
      <c r="C109" s="212"/>
      <c r="D109" s="212"/>
      <c r="E109" s="212"/>
      <c r="F109" s="212"/>
      <c r="G109" s="212"/>
      <c r="H109" s="212"/>
      <c r="I109" s="212"/>
      <c r="J109" s="212"/>
      <c r="K109" s="212"/>
      <c r="L109" s="212"/>
      <c r="M109" s="212"/>
      <c r="N109" s="212"/>
      <c r="O109" s="212"/>
      <c r="P109" s="212"/>
      <c r="Q109" s="212"/>
      <c r="R109" s="212"/>
      <c r="S109" s="212"/>
      <c r="T109" s="212"/>
      <c r="U109" s="212"/>
      <c r="V109" s="212"/>
      <c r="W109" s="212"/>
      <c r="X109" s="212"/>
      <c r="Y109" s="212"/>
      <c r="Z109" s="212"/>
      <c r="AA109" s="212"/>
      <c r="AB109" s="212"/>
      <c r="AC109" s="212"/>
      <c r="AD109" s="212"/>
      <c r="AE109" s="212"/>
      <c r="AF109" s="212"/>
      <c r="AG109" s="212"/>
      <c r="AH109" s="212"/>
      <c r="AI109" s="212"/>
      <c r="AJ109" s="212"/>
      <c r="AK109" s="212"/>
      <c r="AL109" s="212"/>
      <c r="AM109" s="212"/>
      <c r="AN109" s="212"/>
      <c r="AO109" s="212"/>
      <c r="AP109" s="212"/>
      <c r="AQ109" s="212"/>
      <c r="AR109" s="213"/>
      <c r="AS109" s="158"/>
      <c r="AT109" s="158"/>
      <c r="AU109" s="158"/>
      <c r="AV109" s="158"/>
      <c r="AW109" s="158"/>
      <c r="AX109" s="158"/>
      <c r="AY109" s="158"/>
      <c r="AZ109" s="158"/>
      <c r="BA109" s="158"/>
      <c r="BB109" s="158"/>
      <c r="BC109" s="158"/>
      <c r="BD109" s="158"/>
      <c r="BE109" s="202" t="s">
        <v>86</v>
      </c>
      <c r="BF109" s="203"/>
      <c r="BG109" s="203"/>
      <c r="BH109" s="203"/>
      <c r="BI109" s="123">
        <v>140</v>
      </c>
      <c r="BJ109" s="155" t="str">
        <f>IFERROR(IF(BL108&gt;BI110,IF(IF(BI108="A1",VLOOKUP(BI105*1.1,'CAP CONDUÇÃO 90º'!$C:$Z,22,1),IF(BI108="A2",VLOOKUP(BI105*1.1,'CAP CONDUÇÃO 90º'!$E:$Z,20,1),IF(BI108="B1",VLOOKUP(BI105*1.1,'CAP CONDUÇÃO 90º'!$G:$Z,18,1),IF(BI108="B2",VLOOKUP(BI105*1.1,'CAP CONDUÇÃO 90º'!$I:$Z,16,1),IF(BI108="C",VLOOKUP(BI105*1.1,'CAP CONDUÇÃO 90º'!$K:$Z,14,1),IF(BI108="D",VLOOKUP(BI105*1.1,'CAP CONDUÇÃO 90º'!$M:$Z,12,1),IF(BI108="E",VLOOKUP(BI105*1.1,'CAP CONDUÇÃO 90º'!$O:$Z,10,1),IF(BI108="F",VLOOKUP(BI105*1.1,'CAP CONDUÇÃO 90º'!$R:$Z,7,1),IF(BI108="G",VLOOKUP(BI105*1.1,'CAP CONDUÇÃO 90º'!$S:$Z,6,1),"")))))))))&lt;2.5,2.5,IF(BI108="A1",VLOOKUP(BI105*1.1,'CAP CONDUÇÃO 90º'!$C:$Z,22,1),IF(BI108="A2",VLOOKUP(BI105*1.1,'CAP CONDUÇÃO 90º'!$E:$Z,20,1),IF(BI108="B1",VLOOKUP(BI105*1.1,'CAP CONDUÇÃO 90º'!$G:$Z,18,1),IF(BI108="B2",VLOOKUP(BI105*1.1,'CAP CONDUÇÃO 90º'!$I:$Z,16,1),IF(BI108="C",VLOOKUP(BI105*1.1,'CAP CONDUÇÃO 90º'!$K:$Z,14,1),IF(BI108="D",VLOOKUP(BI105*1.1,'CAP CONDUÇÃO 90º'!$M:$Z,12,1),IF(BI108="E",VLOOKUP(BI105*1.1,'CAP CONDUÇÃO 90º'!$O:$Z,10,1),IF(BI108="F",VLOOKUP(BI105*1.1,'CAP CONDUÇÃO 90º'!$R:$Z,7,1),IF(BI108="G",VLOOKUP(BI105*1.1,'CAP CONDUÇÃO 90º'!$S:$Z,5,1),"")))))))))),BL107),"")</f>
        <v/>
      </c>
      <c r="BK109" s="119" t="str">
        <f>IFERROR(IF(BJ110&gt;BI110,IF(IF(BI108="A1",VLOOKUP(BI105*1.1,'CAP CONDUÇÃO 90º'!$C:$Z,23,1),IF(BI108="A2",VLOOKUP(BI105*1.1,'CAP CONDUÇÃO 90º'!$E:$Z,21,1),IF(BI108="B1",VLOOKUP(BI105*1.1,'CAP CONDUÇÃO 90º'!$G:$Z,19,1),IF(BI108="B2",VLOOKUP(BI105*1.1,'CAP CONDUÇÃO 90º'!$I:$Z,17,1),IF(BI108="C",VLOOKUP(BI105*1.1,'CAP CONDUÇÃO 90º'!$K:$Z,15,1),IF(BI108="D",VLOOKUP(BI105*1.1,'CAP CONDUÇÃO 90º'!$M:$Z,13,1),IF(BI108="E",VLOOKUP(BI105*1.1,'CAP CONDUÇÃO 90º'!$O:$Z,11,1),IF(BI108="F",VLOOKUP(BI105*1.1,'CAP CONDUÇÃO 90º'!$R:$Z,8,1),IF(BI108="G",VLOOKUP(BI105*1.1,'CAP CONDUÇÃO 90º'!$S:$Z,7,1),"")))))))))&lt;2.5,2.5,IF(BI108="A1",VLOOKUP(BI105*1.1,'CAP CONDUÇÃO 90º'!$C:$Z,23,1),IF(BI108="A2",VLOOKUP(BI105*1.1,'CAP CONDUÇÃO 90º'!$E:$Z,21,1),IF(BI108="B1",VLOOKUP(BI105*1.1,'CAP CONDUÇÃO 90º'!$G:$Z,19,1),IF(BI108="B2",VLOOKUP(BI105*1.1,'CAP CONDUÇÃO 90º'!$I:$Z,17,1),IF(BI108="C",VLOOKUP(BI105*1.1,'CAP CONDUÇÃO 90º'!$K:$Z,15,1),IF(BI108="D",VLOOKUP(BI105*1.1,'CAP CONDUÇÃO 90º'!$M:$Z,13,1),IF(BI108="E",VLOOKUP(BI105*1.1,'CAP CONDUÇÃO 90º'!$O:$Z,11,1),IF(BI108="F",VLOOKUP(BI105*1.1,'CAP CONDUÇÃO 90º'!$R:$Z,8,1),IF(BI108="G",VLOOKUP(BI105*1.1,'CAP CONDUÇÃO 90º'!$S:$Z,6,1),"")))))))))),BJ109),"")</f>
        <v/>
      </c>
      <c r="BL109" s="120" t="str">
        <f>IFERROR(IF(BL108&gt;BI110,IF(IF(BI108="A1",VLOOKUP(BI105*1.1,'CAP CONDUÇÃO 90º'!$C:$Z,24,1),IF(BI108="A2",VLOOKUP(BI105*1.1,'CAP CONDUÇÃO 90º'!$E:$Z,22,1),IF(BI108="B1",VLOOKUP(BI105*1.1,'CAP CONDUÇÃO 90º'!$G:$Z,20,1),IF(BI108="B2",VLOOKUP(BI105*1.1,'CAP CONDUÇÃO 90º'!$I:$Z,18,1),IF(BI108="C",VLOOKUP(BI105*1.1,'CAP CONDUÇÃO 90º'!$K:$Z,16,1),IF(BI108="D",VLOOKUP(BI105*1.1,'CAP CONDUÇÃO 90º'!$M:$Z,14,1),IF(BI108="E",VLOOKUP(BI105*1.1,'CAP CONDUÇÃO 90º'!$O:$Z,12,1),IF(BI108="F",VLOOKUP(BI105*1.1,'CAP CONDUÇÃO 90º'!$R:$Z,9,1),IF(BI108="G",VLOOKUP(BI105*1.1,'CAP CONDUÇÃO 90º'!$S:$Z,8,1),"")))))))))&lt;2.5,2.5,IF(BI108="A1",VLOOKUP(BI105*1.1,'CAP CONDUÇÃO 90º'!$C:$Z,24,1),IF(BI108="A2",VLOOKUP(BI105*1.1,'CAP CONDUÇÃO 90º'!$E:$Z,22,1),IF(BI108="B1",VLOOKUP(BI105*1.1,'CAP CONDUÇÃO 90º'!$G:$Z,20,1),IF(BI108="B2",VLOOKUP(BI105*1.1,'CAP CONDUÇÃO 90º'!$I:$Z,18,1),IF(BI108="C",VLOOKUP(BI105*1.1,'CAP CONDUÇÃO 90º'!$K:$Z,16,1),IF(BI108="D",VLOOKUP(BI105*1.1,'CAP CONDUÇÃO 90º'!$M:$Z,14,1),IF(BI108="E",VLOOKUP(BI105*1.1,'CAP CONDUÇÃO 90º'!$O:$Z,12,1),IF(BI108="F",VLOOKUP(BI105*1.1,'CAP CONDUÇÃO 90º'!$R:$Z,9,1),IF(BI108="G",VLOOKUP(BI105*1.1,'CAP CONDUÇÃO 90º'!$S:$Z,7,1),"")))))))))),BL107),"")</f>
        <v/>
      </c>
      <c r="BM109" s="202" t="s">
        <v>12</v>
      </c>
      <c r="BN109" s="203"/>
      <c r="BO109" s="203"/>
      <c r="BP109" s="207" t="e">
        <f>IF(BH105&amp;"P-"&amp;BI105&amp;"A"="P-A","",BH105&amp;"P-"&amp;BI105&amp;"A")</f>
        <v>#N/A</v>
      </c>
      <c r="BQ109" s="208"/>
      <c r="BR109" s="208"/>
      <c r="BS109" s="208"/>
      <c r="BT109" s="209"/>
    </row>
    <row r="110" spans="1:73" ht="15" thickBot="1" x14ac:dyDescent="0.4">
      <c r="A110" s="212"/>
      <c r="B110" s="212"/>
      <c r="C110" s="212"/>
      <c r="D110" s="212"/>
      <c r="E110" s="212"/>
      <c r="F110" s="212"/>
      <c r="G110" s="212"/>
      <c r="H110" s="212"/>
      <c r="I110" s="212"/>
      <c r="J110" s="212"/>
      <c r="K110" s="212"/>
      <c r="L110" s="212"/>
      <c r="M110" s="212"/>
      <c r="N110" s="212"/>
      <c r="O110" s="212"/>
      <c r="P110" s="212"/>
      <c r="Q110" s="212"/>
      <c r="R110" s="212"/>
      <c r="S110" s="212"/>
      <c r="T110" s="212"/>
      <c r="U110" s="212"/>
      <c r="V110" s="212"/>
      <c r="W110" s="212"/>
      <c r="X110" s="212"/>
      <c r="Y110" s="212"/>
      <c r="Z110" s="212"/>
      <c r="AA110" s="212"/>
      <c r="AB110" s="212"/>
      <c r="AC110" s="212"/>
      <c r="AD110" s="212"/>
      <c r="AE110" s="212"/>
      <c r="AF110" s="212"/>
      <c r="AG110" s="212"/>
      <c r="AH110" s="212"/>
      <c r="AI110" s="212"/>
      <c r="AJ110" s="212"/>
      <c r="AK110" s="212"/>
      <c r="AL110" s="212"/>
      <c r="AM110" s="212"/>
      <c r="AN110" s="212"/>
      <c r="AO110" s="212"/>
      <c r="AP110" s="212"/>
      <c r="AQ110" s="212"/>
      <c r="AR110" s="213"/>
      <c r="AS110" s="158"/>
      <c r="AT110" s="158"/>
      <c r="AU110" s="158"/>
      <c r="AV110" s="158"/>
      <c r="AW110" s="158"/>
      <c r="AX110" s="158"/>
      <c r="AY110" s="158"/>
      <c r="AZ110" s="158"/>
      <c r="BA110" s="158"/>
      <c r="BB110" s="158"/>
      <c r="BC110" s="158"/>
      <c r="BD110" s="158"/>
      <c r="BE110" s="197" t="s">
        <v>94</v>
      </c>
      <c r="BF110" s="198"/>
      <c r="BG110" s="198"/>
      <c r="BH110" s="198"/>
      <c r="BI110" s="124">
        <v>2</v>
      </c>
      <c r="BJ110" s="125" t="str">
        <f>IFERROR(100*SQRT(3)*$BI$109*$BF$105*(1/56)/($BJ$109*$BE$105),"")</f>
        <v/>
      </c>
      <c r="BK110" s="126" t="str">
        <f>IFERROR(100*SQRT(3)*$BI$109*$BF$105*(1/56)/($BK$109*$BE$105),"")</f>
        <v/>
      </c>
      <c r="BL110" s="127" t="str">
        <f>IFERROR(100*SQRT(3)*$BI$109*$BF$105*(1/56)/($BL$109*$BE$105),"")</f>
        <v/>
      </c>
      <c r="BM110" s="197" t="s">
        <v>95</v>
      </c>
      <c r="BN110" s="198"/>
      <c r="BO110" s="198"/>
      <c r="BP110" s="199" t="str">
        <f>IF(MIN(BJ108:BL110)=0,"",MIN(BJ108:BL110))</f>
        <v/>
      </c>
      <c r="BQ110" s="200"/>
      <c r="BR110" s="200"/>
      <c r="BS110" s="200"/>
      <c r="BT110" s="201"/>
      <c r="BU110" s="2"/>
    </row>
    <row r="111" spans="1:73" ht="15.75" customHeight="1" thickBot="1" x14ac:dyDescent="0.4">
      <c r="AP111" s="66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197" t="s">
        <v>290</v>
      </c>
      <c r="BF111" s="198"/>
      <c r="BG111" s="198"/>
      <c r="BH111" s="198"/>
      <c r="BI111" s="124" t="s">
        <v>289</v>
      </c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53"/>
      <c r="BU111" s="2"/>
    </row>
    <row r="112" spans="1:73" x14ac:dyDescent="0.35">
      <c r="AP112" s="66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U112" s="2"/>
    </row>
    <row r="113" spans="42:73" x14ac:dyDescent="0.35">
      <c r="AP113" s="66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U113" s="2"/>
    </row>
    <row r="114" spans="42:73" x14ac:dyDescent="0.35">
      <c r="AP114" s="66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U114" s="2"/>
    </row>
    <row r="115" spans="42:73" x14ac:dyDescent="0.35">
      <c r="AP115" s="66"/>
    </row>
    <row r="116" spans="42:73" x14ac:dyDescent="0.35">
      <c r="AP116" s="66"/>
    </row>
    <row r="123" spans="42:73" ht="15" customHeight="1" x14ac:dyDescent="0.35"/>
    <row r="124" spans="42:73" ht="15.75" customHeight="1" x14ac:dyDescent="0.35"/>
  </sheetData>
  <mergeCells count="54">
    <mergeCell ref="BE111:BH111"/>
    <mergeCell ref="AP2:AR2"/>
    <mergeCell ref="BJ3:BL3"/>
    <mergeCell ref="A1:BT1"/>
    <mergeCell ref="BH2:BO2"/>
    <mergeCell ref="BP2:BT2"/>
    <mergeCell ref="A3:A4"/>
    <mergeCell ref="BT3:BT4"/>
    <mergeCell ref="AP3:AP4"/>
    <mergeCell ref="AQ3:AQ4"/>
    <mergeCell ref="BP3:BP4"/>
    <mergeCell ref="BM3:BO3"/>
    <mergeCell ref="BH3:BI3"/>
    <mergeCell ref="B2:AO2"/>
    <mergeCell ref="B3:K3"/>
    <mergeCell ref="V3:AE3"/>
    <mergeCell ref="A106:AR110"/>
    <mergeCell ref="BE110:BH110"/>
    <mergeCell ref="BE106:BH106"/>
    <mergeCell ref="BG3:BG4"/>
    <mergeCell ref="AZ3:AZ4"/>
    <mergeCell ref="AY3:AY4"/>
    <mergeCell ref="AF3:AO3"/>
    <mergeCell ref="AR3:AR4"/>
    <mergeCell ref="BE3:BE4"/>
    <mergeCell ref="BF3:BF4"/>
    <mergeCell ref="L3:U3"/>
    <mergeCell ref="BM110:BO110"/>
    <mergeCell ref="BP110:BT110"/>
    <mergeCell ref="BM107:BO107"/>
    <mergeCell ref="BP107:BT107"/>
    <mergeCell ref="BE107:BH107"/>
    <mergeCell ref="BE108:BH108"/>
    <mergeCell ref="BE109:BH109"/>
    <mergeCell ref="BP108:BT108"/>
    <mergeCell ref="BP109:BT109"/>
    <mergeCell ref="BM108:BO108"/>
    <mergeCell ref="BM109:BO109"/>
    <mergeCell ref="AS2:AT2"/>
    <mergeCell ref="AV3:AV4"/>
    <mergeCell ref="AU3:AU4"/>
    <mergeCell ref="BM106:BO106"/>
    <mergeCell ref="BR3:BR4"/>
    <mergeCell ref="AX3:AX4"/>
    <mergeCell ref="BA3:BA4"/>
    <mergeCell ref="BC3:BC4"/>
    <mergeCell ref="BD3:BD4"/>
    <mergeCell ref="BB3:BB4"/>
    <mergeCell ref="AY2:BA2"/>
    <mergeCell ref="BB2:BD2"/>
    <mergeCell ref="BP106:BT106"/>
    <mergeCell ref="BQ3:BQ4"/>
    <mergeCell ref="BS3:BS4"/>
    <mergeCell ref="AW3:AW4"/>
  </mergeCells>
  <phoneticPr fontId="9" type="noConversion"/>
  <dataValidations count="6">
    <dataValidation type="list" allowBlank="1" showInputMessage="1" showErrorMessage="1" sqref="AV6:AW105" xr:uid="{13F62D7A-255A-437E-9451-7A1307DEAA74}">
      <formula1>"PVC,EPR,XLPE"</formula1>
    </dataValidation>
    <dataValidation type="list" allowBlank="1" showInputMessage="1" showErrorMessage="1" sqref="AU5:AU105" xr:uid="{BFFBD4DE-4C55-4A0D-B908-C631BE1D7A4D}">
      <formula1>"A1 - 2, A1 - 3, A2 - 2, A2 - 3, B1 - 2, B1 - 3, B2 - 2, B2 - 3, C - 2, C - 3, D - 2, D - 3, E - 2, E - 3, F - 2, F - 3TRI, F - 3JUST, G - 3HOR, G - 3VER"</formula1>
    </dataValidation>
    <dataValidation type="list" allowBlank="1" showInputMessage="1" showErrorMessage="1" sqref="BB5:BB105" xr:uid="{9B492D5B-7DE0-4F12-9B64-94E0054310BB}">
      <formula1>"SUBTERRÂNEA, NÃO SUBTERRÂNEA"</formula1>
    </dataValidation>
    <dataValidation type="list" allowBlank="1" showInputMessage="1" showErrorMessage="1" sqref="AV5" xr:uid="{2CE6FB2E-D8A6-4F7C-B0D5-D6930A4CD4D7}">
      <mc:AlternateContent xmlns:x12ac="http://schemas.microsoft.com/office/spreadsheetml/2011/1/ac" xmlns:mc="http://schemas.openxmlformats.org/markup-compatibility/2006">
        <mc:Choice Requires="x12ac">
          <x12ac:list>PVC,"EPR,XLPE"</x12ac:list>
        </mc:Choice>
        <mc:Fallback>
          <formula1>"PVC,EPR,XLPE"</formula1>
        </mc:Fallback>
      </mc:AlternateContent>
    </dataValidation>
    <dataValidation type="list" allowBlank="1" showInputMessage="1" showErrorMessage="1" sqref="AW5" xr:uid="{2EDBE434-E2C4-4597-A581-2B0407E92FDE}">
      <mc:AlternateContent xmlns:x12ac="http://schemas.microsoft.com/office/spreadsheetml/2011/1/ac" xmlns:mc="http://schemas.openxmlformats.org/markup-compatibility/2006">
        <mc:Choice Requires="x12ac">
          <x12ac:list>300 V/300 V, 300 V/450 V, 450 V/ 750 V,"0,6 kV/1 kV"</x12ac:list>
        </mc:Choice>
        <mc:Fallback>
          <formula1>"300 V/300 V, 300 V/450 V, 450 V/ 750 V,0,6 kV/1 kV"</formula1>
        </mc:Fallback>
      </mc:AlternateContent>
    </dataValidation>
    <dataValidation type="list" allowBlank="1" showInputMessage="1" showErrorMessage="1" sqref="BI111" xr:uid="{460AAE9C-C3C8-41FA-8CF0-CEF69AC578A8}">
      <formula1>"127/220, 220/380, 254/440"</formula1>
    </dataValidation>
  </dataValidations>
  <pageMargins left="1.0868110236220472" right="0.51181102362204722" top="0.78740157480314965" bottom="0.78740157480314965" header="0.31496062992125984" footer="0.31496062992125984"/>
  <pageSetup paperSize="9" scale="54" orientation="landscape" r:id="rId1"/>
  <ignoredErrors>
    <ignoredError sqref="AF105 AQ5:AQ104 BI5" formulaRange="1"/>
    <ignoredError sqref="AQ105" formula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DDA28-0B07-46CE-A4E2-3F603222C9C5}">
          <x14:formula1>
            <xm:f>TEMPERATURA!$B$2:$B$16</xm:f>
          </x14:formula1>
          <xm:sqref>BC5:BC105</xm:sqref>
        </x14:dataValidation>
        <x14:dataValidation type="list" allowBlank="1" showInputMessage="1" showErrorMessage="1" xr:uid="{0D6EDA33-1B77-4C9F-8345-998C7BB3BAEC}">
          <x14:formula1>
            <xm:f>AGRUPAMENTO!$B$3:$B$7</xm:f>
          </x14:formula1>
          <xm:sqref>AY5:AY105</xm:sqref>
        </x14:dataValidation>
        <x14:dataValidation type="list" allowBlank="1" showInputMessage="1" showErrorMessage="1" xr:uid="{45F5AC31-D06C-4C4E-830B-598BA5A25F1B}">
          <x14:formula1>
            <xm:f>AGRUPAMENTO!$C$2:$N$2</xm:f>
          </x14:formula1>
          <xm:sqref>AZ5:AZ105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30187-E26B-4A96-9A56-0A32083AAED5}">
  <dimension ref="A1:O7"/>
  <sheetViews>
    <sheetView workbookViewId="0">
      <selection activeCell="D3" sqref="D3"/>
    </sheetView>
  </sheetViews>
  <sheetFormatPr defaultRowHeight="14.5" x14ac:dyDescent="0.35"/>
  <cols>
    <col min="2" max="2" width="51.08984375" customWidth="1"/>
    <col min="15" max="15" width="32.7265625" customWidth="1"/>
  </cols>
  <sheetData>
    <row r="1" spans="1:15" ht="15" thickBot="1" x14ac:dyDescent="0.4">
      <c r="A1" s="238" t="s">
        <v>258</v>
      </c>
      <c r="B1" s="238" t="s">
        <v>259</v>
      </c>
      <c r="C1" s="240" t="s">
        <v>260</v>
      </c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38" t="s">
        <v>261</v>
      </c>
    </row>
    <row r="2" spans="1:15" x14ac:dyDescent="0.35">
      <c r="A2" s="239"/>
      <c r="B2" s="239"/>
      <c r="C2" s="178" t="s">
        <v>262</v>
      </c>
      <c r="D2" s="179" t="s">
        <v>263</v>
      </c>
      <c r="E2" s="179" t="s">
        <v>264</v>
      </c>
      <c r="F2" s="179" t="s">
        <v>265</v>
      </c>
      <c r="G2" s="179" t="s">
        <v>266</v>
      </c>
      <c r="H2" s="179" t="s">
        <v>267</v>
      </c>
      <c r="I2" s="179" t="s">
        <v>268</v>
      </c>
      <c r="J2" s="179" t="s">
        <v>269</v>
      </c>
      <c r="K2" s="179" t="s">
        <v>270</v>
      </c>
      <c r="L2" s="179" t="s">
        <v>271</v>
      </c>
      <c r="M2" s="179" t="s">
        <v>272</v>
      </c>
      <c r="N2" s="180" t="s">
        <v>273</v>
      </c>
      <c r="O2" s="239"/>
    </row>
    <row r="3" spans="1:15" ht="27" customHeight="1" x14ac:dyDescent="0.35">
      <c r="A3" s="86">
        <v>1</v>
      </c>
      <c r="B3" s="182" t="s">
        <v>278</v>
      </c>
      <c r="C3" s="86">
        <v>1</v>
      </c>
      <c r="D3" s="86">
        <v>0.8</v>
      </c>
      <c r="E3" s="86">
        <v>0.7</v>
      </c>
      <c r="F3" s="86">
        <v>0.65</v>
      </c>
      <c r="G3" s="86">
        <v>0.6</v>
      </c>
      <c r="H3" s="86">
        <v>0.56999999999999995</v>
      </c>
      <c r="I3" s="86">
        <v>0.54</v>
      </c>
      <c r="J3" s="86">
        <v>0.52</v>
      </c>
      <c r="K3" s="86">
        <v>0.5</v>
      </c>
      <c r="L3" s="86">
        <v>0.45</v>
      </c>
      <c r="M3" s="86">
        <v>0.41</v>
      </c>
      <c r="N3" s="86">
        <v>0.38</v>
      </c>
      <c r="O3" s="181" t="s">
        <v>274</v>
      </c>
    </row>
    <row r="4" spans="1:15" ht="26" customHeight="1" x14ac:dyDescent="0.35">
      <c r="A4" s="86">
        <v>2</v>
      </c>
      <c r="B4" s="182" t="s">
        <v>279</v>
      </c>
      <c r="C4" s="86">
        <v>1</v>
      </c>
      <c r="D4" s="86">
        <v>0.85</v>
      </c>
      <c r="E4" s="86">
        <v>0.79</v>
      </c>
      <c r="F4" s="86">
        <v>0.75</v>
      </c>
      <c r="G4" s="86">
        <v>0.73</v>
      </c>
      <c r="H4" s="86">
        <v>0.72</v>
      </c>
      <c r="I4" s="86">
        <v>0.72</v>
      </c>
      <c r="J4" s="86">
        <v>0.71</v>
      </c>
      <c r="K4" s="86">
        <v>0.7</v>
      </c>
      <c r="L4" s="86">
        <v>0.7</v>
      </c>
      <c r="M4" s="86">
        <v>0.7</v>
      </c>
      <c r="N4" s="86">
        <v>0.7</v>
      </c>
      <c r="O4" s="237" t="s">
        <v>275</v>
      </c>
    </row>
    <row r="5" spans="1:15" x14ac:dyDescent="0.35">
      <c r="A5" s="86">
        <v>3</v>
      </c>
      <c r="B5" s="86" t="s">
        <v>280</v>
      </c>
      <c r="C5" s="86">
        <v>0.95</v>
      </c>
      <c r="D5" s="86">
        <v>0.81</v>
      </c>
      <c r="E5" s="86">
        <v>0.72</v>
      </c>
      <c r="F5" s="86">
        <v>0.68</v>
      </c>
      <c r="G5" s="86">
        <v>0.66</v>
      </c>
      <c r="H5" s="86">
        <v>0.64</v>
      </c>
      <c r="I5" s="86">
        <v>0.63</v>
      </c>
      <c r="J5" s="86">
        <v>0.62</v>
      </c>
      <c r="K5" s="86">
        <v>0.61</v>
      </c>
      <c r="L5" s="86">
        <v>0.61</v>
      </c>
      <c r="M5" s="86">
        <v>0.61</v>
      </c>
      <c r="N5" s="86">
        <v>0.61</v>
      </c>
      <c r="O5" s="237"/>
    </row>
    <row r="6" spans="1:15" x14ac:dyDescent="0.35">
      <c r="A6" s="86">
        <v>4</v>
      </c>
      <c r="B6" s="86" t="s">
        <v>281</v>
      </c>
      <c r="C6" s="86">
        <v>1</v>
      </c>
      <c r="D6" s="86">
        <v>0.88</v>
      </c>
      <c r="E6" s="86">
        <v>0.82</v>
      </c>
      <c r="F6" s="86">
        <v>0.77</v>
      </c>
      <c r="G6" s="86">
        <v>0.75</v>
      </c>
      <c r="H6" s="86">
        <v>0.73</v>
      </c>
      <c r="I6" s="86">
        <v>0.73</v>
      </c>
      <c r="J6" s="86">
        <v>0.72</v>
      </c>
      <c r="K6" s="86">
        <v>0.72</v>
      </c>
      <c r="L6" s="86">
        <v>0.72</v>
      </c>
      <c r="M6" s="86">
        <v>0.72</v>
      </c>
      <c r="N6" s="86">
        <v>0.72</v>
      </c>
      <c r="O6" s="237" t="s">
        <v>276</v>
      </c>
    </row>
    <row r="7" spans="1:15" x14ac:dyDescent="0.35">
      <c r="A7" s="86">
        <v>5</v>
      </c>
      <c r="B7" s="86" t="s">
        <v>282</v>
      </c>
      <c r="C7" s="86">
        <v>1</v>
      </c>
      <c r="D7" s="86">
        <v>0.87</v>
      </c>
      <c r="E7" s="86">
        <v>0.82</v>
      </c>
      <c r="F7" s="86">
        <v>0.8</v>
      </c>
      <c r="G7" s="86">
        <v>0.8</v>
      </c>
      <c r="H7" s="86">
        <v>0.79</v>
      </c>
      <c r="I7" s="86">
        <v>0.79</v>
      </c>
      <c r="J7" s="86">
        <v>0.78</v>
      </c>
      <c r="K7" s="86">
        <v>0.78</v>
      </c>
      <c r="L7" s="86">
        <v>0.78</v>
      </c>
      <c r="M7" s="86">
        <v>0.78</v>
      </c>
      <c r="N7" s="86">
        <v>0.78</v>
      </c>
      <c r="O7" s="237"/>
    </row>
  </sheetData>
  <mergeCells count="6">
    <mergeCell ref="O6:O7"/>
    <mergeCell ref="A1:A2"/>
    <mergeCell ref="B1:B2"/>
    <mergeCell ref="C1:N1"/>
    <mergeCell ref="O1:O2"/>
    <mergeCell ref="O4:O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4EA3E-A872-41ED-9DD5-4B6D8398A94F}">
  <sheetPr codeName="Planilha15"/>
  <dimension ref="A1:I16"/>
  <sheetViews>
    <sheetView workbookViewId="0">
      <selection activeCell="C17" sqref="C17"/>
    </sheetView>
  </sheetViews>
  <sheetFormatPr defaultRowHeight="14.5" x14ac:dyDescent="0.35"/>
  <cols>
    <col min="1" max="1" width="15.1796875" customWidth="1"/>
    <col min="2" max="2" width="16.81640625" customWidth="1"/>
    <col min="3" max="3" width="14.36328125" customWidth="1"/>
    <col min="4" max="4" width="13.36328125" customWidth="1"/>
    <col min="6" max="6" width="13.90625" customWidth="1"/>
    <col min="7" max="7" width="18.26953125" customWidth="1"/>
    <col min="8" max="8" width="9.26953125" customWidth="1"/>
    <col min="9" max="9" width="15.453125" customWidth="1"/>
  </cols>
  <sheetData>
    <row r="1" spans="1:9" x14ac:dyDescent="0.35">
      <c r="A1" t="s">
        <v>248</v>
      </c>
      <c r="B1" t="s">
        <v>249</v>
      </c>
      <c r="C1" t="s">
        <v>244</v>
      </c>
      <c r="D1" t="s">
        <v>250</v>
      </c>
      <c r="F1" t="s">
        <v>248</v>
      </c>
      <c r="G1" t="s">
        <v>249</v>
      </c>
      <c r="H1" t="s">
        <v>244</v>
      </c>
      <c r="I1" t="s">
        <v>250</v>
      </c>
    </row>
    <row r="2" spans="1:9" ht="15" customHeight="1" x14ac:dyDescent="0.35">
      <c r="A2" s="242" t="s">
        <v>251</v>
      </c>
      <c r="B2">
        <v>10</v>
      </c>
      <c r="C2">
        <v>1.22</v>
      </c>
      <c r="D2">
        <v>1.1499999999999999</v>
      </c>
      <c r="F2" s="243" t="s">
        <v>252</v>
      </c>
      <c r="G2">
        <v>10</v>
      </c>
      <c r="H2">
        <v>1.1000000000000001</v>
      </c>
      <c r="I2">
        <v>1.07</v>
      </c>
    </row>
    <row r="3" spans="1:9" x14ac:dyDescent="0.35">
      <c r="A3" s="242"/>
      <c r="B3">
        <v>15</v>
      </c>
      <c r="C3">
        <v>1.17</v>
      </c>
      <c r="D3">
        <v>1.1200000000000001</v>
      </c>
      <c r="F3" s="243"/>
      <c r="G3">
        <v>15</v>
      </c>
      <c r="H3">
        <v>1.05</v>
      </c>
      <c r="I3">
        <v>1.04</v>
      </c>
    </row>
    <row r="4" spans="1:9" x14ac:dyDescent="0.35">
      <c r="A4" s="242"/>
      <c r="B4">
        <v>20</v>
      </c>
      <c r="C4">
        <v>1.1200000000000001</v>
      </c>
      <c r="D4">
        <v>1.08</v>
      </c>
      <c r="F4" s="243"/>
      <c r="G4">
        <v>20</v>
      </c>
      <c r="H4">
        <v>1</v>
      </c>
      <c r="I4">
        <v>1</v>
      </c>
    </row>
    <row r="5" spans="1:9" x14ac:dyDescent="0.35">
      <c r="A5" s="242"/>
      <c r="B5">
        <v>25</v>
      </c>
      <c r="C5">
        <v>1.06</v>
      </c>
      <c r="D5">
        <v>1.04</v>
      </c>
      <c r="F5" s="243"/>
      <c r="G5">
        <v>25</v>
      </c>
      <c r="H5">
        <v>0.95</v>
      </c>
      <c r="I5">
        <v>0.96</v>
      </c>
    </row>
    <row r="6" spans="1:9" x14ac:dyDescent="0.35">
      <c r="A6" s="242"/>
      <c r="B6">
        <v>30</v>
      </c>
      <c r="C6">
        <v>1</v>
      </c>
      <c r="D6">
        <v>1</v>
      </c>
      <c r="F6" s="243"/>
      <c r="G6">
        <v>30</v>
      </c>
      <c r="H6">
        <v>0.89</v>
      </c>
      <c r="I6">
        <v>0.93</v>
      </c>
    </row>
    <row r="7" spans="1:9" x14ac:dyDescent="0.35">
      <c r="A7" s="242"/>
      <c r="B7">
        <v>35</v>
      </c>
      <c r="C7">
        <v>0.94</v>
      </c>
      <c r="D7">
        <v>0.96</v>
      </c>
      <c r="F7" s="243"/>
      <c r="G7">
        <v>35</v>
      </c>
      <c r="H7">
        <v>0.84</v>
      </c>
      <c r="I7">
        <v>0.89</v>
      </c>
    </row>
    <row r="8" spans="1:9" x14ac:dyDescent="0.35">
      <c r="A8" s="242"/>
      <c r="B8">
        <v>40</v>
      </c>
      <c r="C8">
        <v>0.87</v>
      </c>
      <c r="D8">
        <v>0.91</v>
      </c>
      <c r="F8" s="243"/>
      <c r="G8">
        <v>40</v>
      </c>
      <c r="H8">
        <v>0.77</v>
      </c>
      <c r="I8">
        <v>0.85</v>
      </c>
    </row>
    <row r="9" spans="1:9" x14ac:dyDescent="0.35">
      <c r="A9" s="242"/>
      <c r="B9">
        <v>45</v>
      </c>
      <c r="C9">
        <v>0.79</v>
      </c>
      <c r="D9">
        <v>0.87</v>
      </c>
      <c r="F9" s="243"/>
      <c r="G9">
        <v>45</v>
      </c>
      <c r="H9">
        <v>0.71</v>
      </c>
      <c r="I9">
        <v>0.8</v>
      </c>
    </row>
    <row r="10" spans="1:9" x14ac:dyDescent="0.35">
      <c r="A10" s="242"/>
      <c r="B10">
        <v>50</v>
      </c>
      <c r="C10">
        <v>0.71</v>
      </c>
      <c r="D10">
        <v>0.82</v>
      </c>
      <c r="F10" s="243"/>
      <c r="G10">
        <v>50</v>
      </c>
      <c r="H10">
        <v>0.63</v>
      </c>
      <c r="I10">
        <v>0.76</v>
      </c>
    </row>
    <row r="11" spans="1:9" x14ac:dyDescent="0.35">
      <c r="A11" s="242"/>
      <c r="B11">
        <v>55</v>
      </c>
      <c r="C11">
        <v>0.61</v>
      </c>
      <c r="D11">
        <v>0.76</v>
      </c>
      <c r="F11" s="243"/>
      <c r="G11">
        <v>55</v>
      </c>
      <c r="H11">
        <v>0.55000000000000004</v>
      </c>
      <c r="I11">
        <v>0.71</v>
      </c>
    </row>
    <row r="12" spans="1:9" x14ac:dyDescent="0.35">
      <c r="A12" s="242"/>
      <c r="B12">
        <v>60</v>
      </c>
      <c r="C12">
        <v>0.5</v>
      </c>
      <c r="D12">
        <v>0.71</v>
      </c>
      <c r="F12" s="243"/>
      <c r="G12">
        <v>60</v>
      </c>
      <c r="H12">
        <v>0.45</v>
      </c>
      <c r="I12">
        <v>0.65</v>
      </c>
    </row>
    <row r="13" spans="1:9" x14ac:dyDescent="0.35">
      <c r="A13" s="242"/>
      <c r="B13">
        <v>65</v>
      </c>
      <c r="C13" t="s">
        <v>255</v>
      </c>
      <c r="D13">
        <v>0.65</v>
      </c>
      <c r="F13" s="243"/>
      <c r="G13">
        <v>65</v>
      </c>
      <c r="H13" t="s">
        <v>255</v>
      </c>
      <c r="I13">
        <v>0.6</v>
      </c>
    </row>
    <row r="14" spans="1:9" x14ac:dyDescent="0.35">
      <c r="A14" s="242"/>
      <c r="B14">
        <v>70</v>
      </c>
      <c r="C14" t="s">
        <v>255</v>
      </c>
      <c r="D14">
        <v>0.57999999999999996</v>
      </c>
      <c r="F14" s="243"/>
      <c r="G14">
        <v>70</v>
      </c>
      <c r="H14" t="s">
        <v>255</v>
      </c>
      <c r="I14">
        <v>0.53</v>
      </c>
    </row>
    <row r="15" spans="1:9" x14ac:dyDescent="0.35">
      <c r="A15" s="242"/>
      <c r="B15">
        <v>75</v>
      </c>
      <c r="C15" t="s">
        <v>255</v>
      </c>
      <c r="D15">
        <v>0.5</v>
      </c>
      <c r="F15" s="243"/>
      <c r="G15">
        <v>75</v>
      </c>
      <c r="H15" t="s">
        <v>255</v>
      </c>
      <c r="I15">
        <v>0.46</v>
      </c>
    </row>
    <row r="16" spans="1:9" x14ac:dyDescent="0.35">
      <c r="A16" s="242"/>
      <c r="B16">
        <v>80</v>
      </c>
      <c r="C16" t="s">
        <v>255</v>
      </c>
      <c r="D16">
        <v>0.41</v>
      </c>
      <c r="F16" s="243"/>
      <c r="G16">
        <v>80</v>
      </c>
      <c r="H16" t="s">
        <v>255</v>
      </c>
      <c r="I16">
        <v>0.38</v>
      </c>
    </row>
  </sheetData>
  <mergeCells count="2">
    <mergeCell ref="A2:A16"/>
    <mergeCell ref="F2:F1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D30"/>
  <sheetViews>
    <sheetView topLeftCell="A7" workbookViewId="0">
      <selection activeCell="C2" sqref="C2:C30"/>
    </sheetView>
  </sheetViews>
  <sheetFormatPr defaultRowHeight="14.5" x14ac:dyDescent="0.35"/>
  <cols>
    <col min="1" max="1" width="3.7265625" bestFit="1" customWidth="1"/>
    <col min="2" max="4" width="13.1796875" customWidth="1"/>
  </cols>
  <sheetData>
    <row r="1" spans="1:4" x14ac:dyDescent="0.35">
      <c r="A1" s="86"/>
      <c r="B1" s="87" t="s">
        <v>84</v>
      </c>
      <c r="C1" s="87" t="s">
        <v>18</v>
      </c>
      <c r="D1" s="87" t="s">
        <v>19</v>
      </c>
    </row>
    <row r="2" spans="1:4" x14ac:dyDescent="0.35">
      <c r="A2" s="245" t="s">
        <v>83</v>
      </c>
      <c r="B2" s="65">
        <v>0</v>
      </c>
      <c r="C2" s="3">
        <v>6</v>
      </c>
      <c r="D2" s="65">
        <f>C2*0.8</f>
        <v>4.8000000000000007</v>
      </c>
    </row>
    <row r="3" spans="1:4" x14ac:dyDescent="0.35">
      <c r="A3" s="245"/>
      <c r="B3" s="65">
        <f>D2</f>
        <v>4.8000000000000007</v>
      </c>
      <c r="C3" s="3">
        <v>10</v>
      </c>
      <c r="D3" s="65">
        <f t="shared" ref="D3:D30" si="0">C3*0.8</f>
        <v>8</v>
      </c>
    </row>
    <row r="4" spans="1:4" x14ac:dyDescent="0.35">
      <c r="A4" s="245"/>
      <c r="B4" s="65">
        <f t="shared" ref="B4:B30" si="1">D3</f>
        <v>8</v>
      </c>
      <c r="C4" s="3">
        <v>13</v>
      </c>
      <c r="D4" s="65">
        <f t="shared" si="0"/>
        <v>10.4</v>
      </c>
    </row>
    <row r="5" spans="1:4" x14ac:dyDescent="0.35">
      <c r="A5" s="245"/>
      <c r="B5" s="65">
        <f t="shared" si="1"/>
        <v>10.4</v>
      </c>
      <c r="C5" s="3">
        <v>16</v>
      </c>
      <c r="D5" s="65">
        <f t="shared" si="0"/>
        <v>12.8</v>
      </c>
    </row>
    <row r="6" spans="1:4" x14ac:dyDescent="0.35">
      <c r="A6" s="245"/>
      <c r="B6" s="65">
        <f t="shared" si="1"/>
        <v>12.8</v>
      </c>
      <c r="C6" s="3">
        <v>20</v>
      </c>
      <c r="D6" s="65">
        <f t="shared" si="0"/>
        <v>16</v>
      </c>
    </row>
    <row r="7" spans="1:4" x14ac:dyDescent="0.35">
      <c r="A7" s="245"/>
      <c r="B7" s="65">
        <f t="shared" si="1"/>
        <v>16</v>
      </c>
      <c r="C7" s="3">
        <v>25</v>
      </c>
      <c r="D7" s="65">
        <f t="shared" si="0"/>
        <v>20</v>
      </c>
    </row>
    <row r="8" spans="1:4" x14ac:dyDescent="0.35">
      <c r="A8" s="245"/>
      <c r="B8" s="65">
        <f t="shared" si="1"/>
        <v>20</v>
      </c>
      <c r="C8" s="3">
        <v>32</v>
      </c>
      <c r="D8" s="65">
        <f t="shared" si="0"/>
        <v>25.6</v>
      </c>
    </row>
    <row r="9" spans="1:4" x14ac:dyDescent="0.35">
      <c r="A9" s="245"/>
      <c r="B9" s="65">
        <f t="shared" si="1"/>
        <v>25.6</v>
      </c>
      <c r="C9" s="3">
        <v>40</v>
      </c>
      <c r="D9" s="65">
        <f t="shared" si="0"/>
        <v>32</v>
      </c>
    </row>
    <row r="10" spans="1:4" x14ac:dyDescent="0.35">
      <c r="A10" s="245"/>
      <c r="B10" s="65">
        <f t="shared" si="1"/>
        <v>32</v>
      </c>
      <c r="C10" s="3">
        <v>50</v>
      </c>
      <c r="D10" s="65">
        <f t="shared" si="0"/>
        <v>40</v>
      </c>
    </row>
    <row r="11" spans="1:4" x14ac:dyDescent="0.35">
      <c r="A11" s="245"/>
      <c r="B11" s="65">
        <f t="shared" si="1"/>
        <v>40</v>
      </c>
      <c r="C11" s="3">
        <v>63</v>
      </c>
      <c r="D11" s="65">
        <f t="shared" si="0"/>
        <v>50.400000000000006</v>
      </c>
    </row>
    <row r="12" spans="1:4" x14ac:dyDescent="0.35">
      <c r="A12" s="245"/>
      <c r="B12" s="65">
        <f t="shared" si="1"/>
        <v>50.400000000000006</v>
      </c>
      <c r="C12" s="3">
        <v>80</v>
      </c>
      <c r="D12" s="65">
        <f t="shared" si="0"/>
        <v>64</v>
      </c>
    </row>
    <row r="13" spans="1:4" x14ac:dyDescent="0.35">
      <c r="A13" s="245"/>
      <c r="B13" s="65">
        <f t="shared" si="1"/>
        <v>64</v>
      </c>
      <c r="C13" s="3">
        <v>100</v>
      </c>
      <c r="D13" s="65">
        <f t="shared" si="0"/>
        <v>80</v>
      </c>
    </row>
    <row r="14" spans="1:4" x14ac:dyDescent="0.35">
      <c r="A14" s="245"/>
      <c r="B14" s="65">
        <f t="shared" si="1"/>
        <v>80</v>
      </c>
      <c r="C14" s="3">
        <v>125</v>
      </c>
      <c r="D14" s="65">
        <f t="shared" si="0"/>
        <v>100</v>
      </c>
    </row>
    <row r="15" spans="1:4" x14ac:dyDescent="0.35">
      <c r="A15" s="244" t="s">
        <v>82</v>
      </c>
      <c r="B15" s="65">
        <f t="shared" si="1"/>
        <v>100</v>
      </c>
      <c r="C15" s="3">
        <v>150</v>
      </c>
      <c r="D15" s="65">
        <f t="shared" si="0"/>
        <v>120</v>
      </c>
    </row>
    <row r="16" spans="1:4" x14ac:dyDescent="0.35">
      <c r="A16" s="244"/>
      <c r="B16" s="65">
        <f t="shared" si="1"/>
        <v>120</v>
      </c>
      <c r="C16" s="3">
        <v>175</v>
      </c>
      <c r="D16" s="65">
        <f t="shared" si="0"/>
        <v>140</v>
      </c>
    </row>
    <row r="17" spans="1:4" x14ac:dyDescent="0.35">
      <c r="A17" s="244"/>
      <c r="B17" s="65">
        <f t="shared" si="1"/>
        <v>140</v>
      </c>
      <c r="C17" s="3">
        <v>200</v>
      </c>
      <c r="D17" s="65">
        <f t="shared" si="0"/>
        <v>160</v>
      </c>
    </row>
    <row r="18" spans="1:4" x14ac:dyDescent="0.35">
      <c r="A18" s="244"/>
      <c r="B18" s="65">
        <f t="shared" si="1"/>
        <v>160</v>
      </c>
      <c r="C18" s="3">
        <v>225</v>
      </c>
      <c r="D18" s="65">
        <f t="shared" si="0"/>
        <v>180</v>
      </c>
    </row>
    <row r="19" spans="1:4" x14ac:dyDescent="0.35">
      <c r="A19" s="244"/>
      <c r="B19" s="65">
        <f t="shared" si="1"/>
        <v>180</v>
      </c>
      <c r="C19" s="3">
        <v>250</v>
      </c>
      <c r="D19" s="65">
        <f t="shared" si="0"/>
        <v>200</v>
      </c>
    </row>
    <row r="20" spans="1:4" x14ac:dyDescent="0.35">
      <c r="A20" s="244"/>
      <c r="B20" s="65">
        <f t="shared" si="1"/>
        <v>200</v>
      </c>
      <c r="C20" s="3">
        <v>300</v>
      </c>
      <c r="D20" s="65">
        <f t="shared" si="0"/>
        <v>240</v>
      </c>
    </row>
    <row r="21" spans="1:4" x14ac:dyDescent="0.35">
      <c r="A21" s="244"/>
      <c r="B21" s="65">
        <f t="shared" si="1"/>
        <v>240</v>
      </c>
      <c r="C21" s="3">
        <v>350</v>
      </c>
      <c r="D21" s="65">
        <f t="shared" si="0"/>
        <v>280</v>
      </c>
    </row>
    <row r="22" spans="1:4" x14ac:dyDescent="0.35">
      <c r="A22" s="244"/>
      <c r="B22" s="65">
        <f t="shared" si="1"/>
        <v>280</v>
      </c>
      <c r="C22" s="3">
        <v>400</v>
      </c>
      <c r="D22" s="65">
        <f t="shared" si="0"/>
        <v>320</v>
      </c>
    </row>
    <row r="23" spans="1:4" x14ac:dyDescent="0.35">
      <c r="A23" s="244"/>
      <c r="B23" s="65">
        <f t="shared" si="1"/>
        <v>320</v>
      </c>
      <c r="C23" s="3">
        <v>450</v>
      </c>
      <c r="D23" s="65">
        <f t="shared" si="0"/>
        <v>360</v>
      </c>
    </row>
    <row r="24" spans="1:4" x14ac:dyDescent="0.35">
      <c r="A24" s="244"/>
      <c r="B24" s="65">
        <f t="shared" si="1"/>
        <v>360</v>
      </c>
      <c r="C24" s="3">
        <v>500</v>
      </c>
      <c r="D24" s="65">
        <f t="shared" si="0"/>
        <v>400</v>
      </c>
    </row>
    <row r="25" spans="1:4" x14ac:dyDescent="0.35">
      <c r="A25" s="244"/>
      <c r="B25" s="65">
        <f t="shared" si="1"/>
        <v>400</v>
      </c>
      <c r="C25" s="3">
        <v>600</v>
      </c>
      <c r="D25" s="65">
        <f t="shared" si="0"/>
        <v>480</v>
      </c>
    </row>
    <row r="26" spans="1:4" x14ac:dyDescent="0.35">
      <c r="A26" s="244"/>
      <c r="B26" s="65">
        <f t="shared" si="1"/>
        <v>480</v>
      </c>
      <c r="C26" s="3">
        <v>800</v>
      </c>
      <c r="D26" s="65">
        <f t="shared" si="0"/>
        <v>640</v>
      </c>
    </row>
    <row r="27" spans="1:4" x14ac:dyDescent="0.35">
      <c r="A27" s="244"/>
      <c r="B27" s="65">
        <f t="shared" si="1"/>
        <v>640</v>
      </c>
      <c r="C27" s="3">
        <v>1000</v>
      </c>
      <c r="D27" s="65">
        <f t="shared" si="0"/>
        <v>800</v>
      </c>
    </row>
    <row r="28" spans="1:4" x14ac:dyDescent="0.35">
      <c r="A28" s="244"/>
      <c r="B28" s="65">
        <f t="shared" si="1"/>
        <v>800</v>
      </c>
      <c r="C28" s="3">
        <v>1200</v>
      </c>
      <c r="D28" s="65">
        <f t="shared" si="0"/>
        <v>960</v>
      </c>
    </row>
    <row r="29" spans="1:4" x14ac:dyDescent="0.35">
      <c r="A29" s="244"/>
      <c r="B29" s="65">
        <f t="shared" si="1"/>
        <v>960</v>
      </c>
      <c r="C29" s="3">
        <v>1600</v>
      </c>
      <c r="D29" s="65">
        <f t="shared" si="0"/>
        <v>1280</v>
      </c>
    </row>
    <row r="30" spans="1:4" x14ac:dyDescent="0.35">
      <c r="A30" s="244"/>
      <c r="B30" s="65">
        <f t="shared" si="1"/>
        <v>1280</v>
      </c>
      <c r="C30" s="3">
        <v>2000</v>
      </c>
      <c r="D30" s="65">
        <f t="shared" si="0"/>
        <v>1600</v>
      </c>
    </row>
  </sheetData>
  <mergeCells count="2">
    <mergeCell ref="A15:A30"/>
    <mergeCell ref="A2:A1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AP27"/>
  <sheetViews>
    <sheetView topLeftCell="V13" zoomScaleNormal="100" workbookViewId="0">
      <selection activeCell="AP1" sqref="AP1"/>
    </sheetView>
  </sheetViews>
  <sheetFormatPr defaultRowHeight="14.5" x14ac:dyDescent="0.35"/>
  <cols>
    <col min="1" max="1" width="10.1796875" customWidth="1"/>
    <col min="23" max="23" width="20.7265625" customWidth="1"/>
  </cols>
  <sheetData>
    <row r="1" spans="1:42" ht="49" customHeight="1" thickBot="1" x14ac:dyDescent="0.4">
      <c r="A1" s="256" t="s">
        <v>53</v>
      </c>
      <c r="B1" s="249" t="s">
        <v>74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1"/>
      <c r="W1" s="183" t="s">
        <v>53</v>
      </c>
      <c r="X1" s="184" t="s">
        <v>291</v>
      </c>
      <c r="Y1" s="184" t="s">
        <v>243</v>
      </c>
      <c r="Z1" s="184" t="s">
        <v>293</v>
      </c>
      <c r="AA1" s="184" t="s">
        <v>292</v>
      </c>
      <c r="AB1" s="184" t="s">
        <v>294</v>
      </c>
      <c r="AC1" s="184" t="s">
        <v>295</v>
      </c>
      <c r="AD1" s="184" t="s">
        <v>296</v>
      </c>
      <c r="AE1" s="184" t="s">
        <v>297</v>
      </c>
      <c r="AF1" s="184" t="s">
        <v>298</v>
      </c>
      <c r="AG1" s="184" t="s">
        <v>299</v>
      </c>
      <c r="AH1" s="184" t="s">
        <v>300</v>
      </c>
      <c r="AI1" s="184" t="s">
        <v>301</v>
      </c>
      <c r="AJ1" s="184" t="s">
        <v>302</v>
      </c>
      <c r="AK1" s="184" t="s">
        <v>303</v>
      </c>
      <c r="AL1" s="184" t="s">
        <v>304</v>
      </c>
      <c r="AM1" s="184" t="s">
        <v>305</v>
      </c>
      <c r="AN1" s="184" t="s">
        <v>306</v>
      </c>
      <c r="AO1" s="184" t="s">
        <v>307</v>
      </c>
      <c r="AP1" s="184" t="s">
        <v>308</v>
      </c>
    </row>
    <row r="2" spans="1:42" x14ac:dyDescent="0.35">
      <c r="A2" s="257"/>
      <c r="B2" s="252" t="s">
        <v>48</v>
      </c>
      <c r="C2" s="253"/>
      <c r="D2" s="254" t="s">
        <v>49</v>
      </c>
      <c r="E2" s="255"/>
      <c r="F2" s="252" t="s">
        <v>50</v>
      </c>
      <c r="G2" s="253"/>
      <c r="H2" s="254" t="s">
        <v>51</v>
      </c>
      <c r="I2" s="255"/>
      <c r="J2" s="252" t="s">
        <v>10</v>
      </c>
      <c r="K2" s="253"/>
      <c r="L2" s="254" t="s">
        <v>52</v>
      </c>
      <c r="M2" s="255"/>
      <c r="N2" s="246" t="s">
        <v>54</v>
      </c>
      <c r="O2" s="247"/>
      <c r="P2" s="246" t="s">
        <v>55</v>
      </c>
      <c r="Q2" s="248"/>
      <c r="R2" s="247"/>
      <c r="S2" s="246" t="s">
        <v>56</v>
      </c>
      <c r="T2" s="247"/>
      <c r="W2" s="30">
        <v>0.5</v>
      </c>
      <c r="X2" s="46">
        <v>7</v>
      </c>
      <c r="Y2" s="10">
        <v>7</v>
      </c>
      <c r="Z2" s="50">
        <v>7</v>
      </c>
      <c r="AA2" s="51">
        <v>7</v>
      </c>
      <c r="AB2" s="46">
        <v>9</v>
      </c>
      <c r="AC2" s="10">
        <v>8</v>
      </c>
      <c r="AD2" s="50">
        <v>9</v>
      </c>
      <c r="AE2" s="51">
        <v>8</v>
      </c>
      <c r="AF2" s="46">
        <v>10</v>
      </c>
      <c r="AG2" s="10">
        <v>9</v>
      </c>
      <c r="AH2" s="50">
        <v>12</v>
      </c>
      <c r="AI2" s="51">
        <v>10</v>
      </c>
      <c r="AJ2" s="46">
        <v>11</v>
      </c>
      <c r="AK2" s="71">
        <v>9</v>
      </c>
      <c r="AL2" s="46">
        <v>11</v>
      </c>
      <c r="AM2" s="50">
        <v>8</v>
      </c>
      <c r="AN2" s="71">
        <v>9</v>
      </c>
      <c r="AO2" s="46">
        <v>12</v>
      </c>
      <c r="AP2" s="71">
        <v>10</v>
      </c>
    </row>
    <row r="3" spans="1:42" ht="15" thickBot="1" x14ac:dyDescent="0.4">
      <c r="A3" s="258"/>
      <c r="B3" s="47">
        <v>2</v>
      </c>
      <c r="C3" s="12">
        <v>3</v>
      </c>
      <c r="D3" s="48">
        <v>2</v>
      </c>
      <c r="E3" s="49">
        <v>3</v>
      </c>
      <c r="F3" s="47">
        <v>2</v>
      </c>
      <c r="G3" s="12">
        <v>3</v>
      </c>
      <c r="H3" s="48">
        <v>2</v>
      </c>
      <c r="I3" s="49">
        <v>3</v>
      </c>
      <c r="J3" s="47">
        <v>2</v>
      </c>
      <c r="K3" s="12">
        <v>3</v>
      </c>
      <c r="L3" s="48">
        <v>2</v>
      </c>
      <c r="M3" s="49">
        <v>3</v>
      </c>
      <c r="N3" s="47">
        <v>2</v>
      </c>
      <c r="O3" s="12">
        <v>3</v>
      </c>
      <c r="P3" s="47">
        <v>2</v>
      </c>
      <c r="Q3" s="70" t="s">
        <v>75</v>
      </c>
      <c r="R3" s="12" t="s">
        <v>76</v>
      </c>
      <c r="S3" s="47" t="s">
        <v>77</v>
      </c>
      <c r="T3" s="12" t="s">
        <v>78</v>
      </c>
      <c r="W3" s="31">
        <v>0.75</v>
      </c>
      <c r="X3" s="22">
        <v>9</v>
      </c>
      <c r="Y3" s="5">
        <v>9</v>
      </c>
      <c r="Z3" s="29">
        <v>9</v>
      </c>
      <c r="AA3" s="43">
        <v>9</v>
      </c>
      <c r="AB3" s="22">
        <v>11</v>
      </c>
      <c r="AC3" s="5">
        <v>10</v>
      </c>
      <c r="AD3" s="29">
        <v>11</v>
      </c>
      <c r="AE3" s="43">
        <v>10</v>
      </c>
      <c r="AF3" s="22">
        <v>13</v>
      </c>
      <c r="AG3" s="5">
        <v>11</v>
      </c>
      <c r="AH3" s="29">
        <v>15</v>
      </c>
      <c r="AI3" s="43">
        <v>12</v>
      </c>
      <c r="AJ3" s="22">
        <v>14</v>
      </c>
      <c r="AK3" s="68">
        <v>12</v>
      </c>
      <c r="AL3" s="22">
        <v>14</v>
      </c>
      <c r="AM3" s="29">
        <v>11</v>
      </c>
      <c r="AN3" s="68">
        <v>11</v>
      </c>
      <c r="AO3" s="22">
        <v>16</v>
      </c>
      <c r="AP3" s="68">
        <v>13</v>
      </c>
    </row>
    <row r="4" spans="1:42" x14ac:dyDescent="0.35">
      <c r="A4" s="30">
        <v>0.5</v>
      </c>
      <c r="B4" s="46">
        <v>7</v>
      </c>
      <c r="C4" s="10">
        <v>7</v>
      </c>
      <c r="D4" s="50">
        <v>7</v>
      </c>
      <c r="E4" s="51">
        <v>7</v>
      </c>
      <c r="F4" s="46">
        <v>9</v>
      </c>
      <c r="G4" s="10">
        <v>8</v>
      </c>
      <c r="H4" s="50">
        <v>9</v>
      </c>
      <c r="I4" s="51">
        <v>8</v>
      </c>
      <c r="J4" s="46">
        <v>10</v>
      </c>
      <c r="K4" s="10">
        <v>9</v>
      </c>
      <c r="L4" s="50">
        <v>12</v>
      </c>
      <c r="M4" s="51">
        <v>10</v>
      </c>
      <c r="N4" s="46">
        <v>11</v>
      </c>
      <c r="O4" s="71">
        <v>9</v>
      </c>
      <c r="P4" s="46">
        <v>11</v>
      </c>
      <c r="Q4" s="50">
        <v>8</v>
      </c>
      <c r="R4" s="71">
        <v>9</v>
      </c>
      <c r="S4" s="46">
        <v>12</v>
      </c>
      <c r="T4" s="71">
        <v>10</v>
      </c>
      <c r="W4" s="31">
        <v>1</v>
      </c>
      <c r="X4" s="22">
        <v>11</v>
      </c>
      <c r="Y4" s="5">
        <v>10</v>
      </c>
      <c r="Z4" s="29">
        <v>11</v>
      </c>
      <c r="AA4" s="43">
        <v>10</v>
      </c>
      <c r="AB4" s="22">
        <v>14</v>
      </c>
      <c r="AC4" s="5">
        <v>12</v>
      </c>
      <c r="AD4" s="29">
        <v>13</v>
      </c>
      <c r="AE4" s="43">
        <v>12</v>
      </c>
      <c r="AF4" s="22">
        <v>15</v>
      </c>
      <c r="AG4" s="5">
        <v>14</v>
      </c>
      <c r="AH4" s="29">
        <v>18</v>
      </c>
      <c r="AI4" s="43">
        <v>15</v>
      </c>
      <c r="AJ4" s="22">
        <v>17</v>
      </c>
      <c r="AK4" s="68">
        <v>14</v>
      </c>
      <c r="AL4" s="22">
        <v>17</v>
      </c>
      <c r="AM4" s="29">
        <v>13</v>
      </c>
      <c r="AN4" s="68">
        <v>14</v>
      </c>
      <c r="AO4" s="22">
        <v>19</v>
      </c>
      <c r="AP4" s="68">
        <v>16</v>
      </c>
    </row>
    <row r="5" spans="1:42" x14ac:dyDescent="0.35">
      <c r="A5" s="31">
        <v>0.75</v>
      </c>
      <c r="B5" s="22">
        <v>9</v>
      </c>
      <c r="C5" s="5">
        <v>9</v>
      </c>
      <c r="D5" s="29">
        <v>9</v>
      </c>
      <c r="E5" s="43">
        <v>9</v>
      </c>
      <c r="F5" s="22">
        <v>11</v>
      </c>
      <c r="G5" s="5">
        <v>10</v>
      </c>
      <c r="H5" s="29">
        <v>11</v>
      </c>
      <c r="I5" s="43">
        <v>10</v>
      </c>
      <c r="J5" s="22">
        <v>13</v>
      </c>
      <c r="K5" s="5">
        <v>11</v>
      </c>
      <c r="L5" s="29">
        <v>15</v>
      </c>
      <c r="M5" s="43">
        <v>12</v>
      </c>
      <c r="N5" s="22">
        <v>14</v>
      </c>
      <c r="O5" s="68">
        <v>12</v>
      </c>
      <c r="P5" s="22">
        <v>14</v>
      </c>
      <c r="Q5" s="29">
        <v>11</v>
      </c>
      <c r="R5" s="68">
        <v>11</v>
      </c>
      <c r="S5" s="22">
        <v>16</v>
      </c>
      <c r="T5" s="68">
        <v>13</v>
      </c>
      <c r="W5" s="31">
        <v>1.5</v>
      </c>
      <c r="X5" s="22">
        <v>14.5</v>
      </c>
      <c r="Y5" s="5">
        <v>13.5</v>
      </c>
      <c r="Z5" s="29">
        <v>14</v>
      </c>
      <c r="AA5" s="43">
        <v>13</v>
      </c>
      <c r="AB5" s="22">
        <v>17.5</v>
      </c>
      <c r="AC5" s="5">
        <v>15.5</v>
      </c>
      <c r="AD5" s="29">
        <v>16.5</v>
      </c>
      <c r="AE5" s="43">
        <v>15</v>
      </c>
      <c r="AF5" s="22">
        <v>19.5</v>
      </c>
      <c r="AG5" s="5">
        <v>17.5</v>
      </c>
      <c r="AH5" s="29">
        <v>22</v>
      </c>
      <c r="AI5" s="43">
        <v>18</v>
      </c>
      <c r="AJ5" s="22">
        <v>22</v>
      </c>
      <c r="AK5" s="68">
        <v>18.5</v>
      </c>
      <c r="AL5" s="22">
        <v>22</v>
      </c>
      <c r="AM5" s="29">
        <v>17</v>
      </c>
      <c r="AN5" s="68">
        <v>18</v>
      </c>
      <c r="AO5" s="22">
        <v>24</v>
      </c>
      <c r="AP5" s="68">
        <v>21</v>
      </c>
    </row>
    <row r="6" spans="1:42" x14ac:dyDescent="0.35">
      <c r="A6" s="31">
        <v>1</v>
      </c>
      <c r="B6" s="22">
        <v>11</v>
      </c>
      <c r="C6" s="5">
        <v>10</v>
      </c>
      <c r="D6" s="29">
        <v>11</v>
      </c>
      <c r="E6" s="43">
        <v>10</v>
      </c>
      <c r="F6" s="22">
        <v>14</v>
      </c>
      <c r="G6" s="5">
        <v>12</v>
      </c>
      <c r="H6" s="29">
        <v>13</v>
      </c>
      <c r="I6" s="43">
        <v>12</v>
      </c>
      <c r="J6" s="22">
        <v>15</v>
      </c>
      <c r="K6" s="5">
        <v>14</v>
      </c>
      <c r="L6" s="29">
        <v>18</v>
      </c>
      <c r="M6" s="43">
        <v>15</v>
      </c>
      <c r="N6" s="22">
        <v>17</v>
      </c>
      <c r="O6" s="68">
        <v>14</v>
      </c>
      <c r="P6" s="22">
        <v>17</v>
      </c>
      <c r="Q6" s="29">
        <v>13</v>
      </c>
      <c r="R6" s="68">
        <v>14</v>
      </c>
      <c r="S6" s="22">
        <v>19</v>
      </c>
      <c r="T6" s="68">
        <v>16</v>
      </c>
      <c r="W6" s="31">
        <v>2.5</v>
      </c>
      <c r="X6" s="22">
        <v>19.5</v>
      </c>
      <c r="Y6" s="5">
        <v>18</v>
      </c>
      <c r="Z6" s="29">
        <v>18.5</v>
      </c>
      <c r="AA6" s="43">
        <v>17.5</v>
      </c>
      <c r="AB6" s="22">
        <v>24</v>
      </c>
      <c r="AC6" s="5">
        <v>21</v>
      </c>
      <c r="AD6" s="29">
        <v>23</v>
      </c>
      <c r="AE6" s="43">
        <v>20</v>
      </c>
      <c r="AF6" s="22">
        <v>27</v>
      </c>
      <c r="AG6" s="5">
        <v>24</v>
      </c>
      <c r="AH6" s="29">
        <v>29</v>
      </c>
      <c r="AI6" s="43">
        <v>24</v>
      </c>
      <c r="AJ6" s="22">
        <v>30</v>
      </c>
      <c r="AK6" s="68">
        <v>25</v>
      </c>
      <c r="AL6" s="22">
        <v>31</v>
      </c>
      <c r="AM6" s="29">
        <v>24</v>
      </c>
      <c r="AN6" s="68">
        <v>25</v>
      </c>
      <c r="AO6" s="22">
        <v>34</v>
      </c>
      <c r="AP6" s="68">
        <v>29</v>
      </c>
    </row>
    <row r="7" spans="1:42" x14ac:dyDescent="0.35">
      <c r="A7" s="31">
        <v>1.5</v>
      </c>
      <c r="B7" s="22">
        <v>14.5</v>
      </c>
      <c r="C7" s="5">
        <v>13.5</v>
      </c>
      <c r="D7" s="29">
        <v>14</v>
      </c>
      <c r="E7" s="43">
        <v>13</v>
      </c>
      <c r="F7" s="22">
        <v>17.5</v>
      </c>
      <c r="G7" s="5">
        <v>15.5</v>
      </c>
      <c r="H7" s="29">
        <v>16.5</v>
      </c>
      <c r="I7" s="43">
        <v>15</v>
      </c>
      <c r="J7" s="22">
        <v>19.5</v>
      </c>
      <c r="K7" s="5">
        <v>17.5</v>
      </c>
      <c r="L7" s="29">
        <v>22</v>
      </c>
      <c r="M7" s="43">
        <v>18</v>
      </c>
      <c r="N7" s="22">
        <v>22</v>
      </c>
      <c r="O7" s="68">
        <v>18.5</v>
      </c>
      <c r="P7" s="22">
        <v>22</v>
      </c>
      <c r="Q7" s="29">
        <v>17</v>
      </c>
      <c r="R7" s="68">
        <v>18</v>
      </c>
      <c r="S7" s="22">
        <v>24</v>
      </c>
      <c r="T7" s="68">
        <v>21</v>
      </c>
      <c r="W7" s="31">
        <v>4</v>
      </c>
      <c r="X7" s="22">
        <v>26</v>
      </c>
      <c r="Y7" s="5">
        <v>24</v>
      </c>
      <c r="Z7" s="29">
        <v>25</v>
      </c>
      <c r="AA7" s="43">
        <v>23</v>
      </c>
      <c r="AB7" s="22">
        <v>32</v>
      </c>
      <c r="AC7" s="5">
        <v>28</v>
      </c>
      <c r="AD7" s="29">
        <v>30</v>
      </c>
      <c r="AE7" s="43">
        <v>27</v>
      </c>
      <c r="AF7" s="22">
        <v>36</v>
      </c>
      <c r="AG7" s="5">
        <v>32</v>
      </c>
      <c r="AH7" s="29">
        <v>38</v>
      </c>
      <c r="AI7" s="43">
        <v>31</v>
      </c>
      <c r="AJ7" s="22">
        <v>40</v>
      </c>
      <c r="AK7" s="68">
        <v>34</v>
      </c>
      <c r="AL7" s="22">
        <v>41</v>
      </c>
      <c r="AM7" s="29">
        <v>33</v>
      </c>
      <c r="AN7" s="68">
        <v>34</v>
      </c>
      <c r="AO7" s="22">
        <v>45</v>
      </c>
      <c r="AP7" s="68">
        <v>39</v>
      </c>
    </row>
    <row r="8" spans="1:42" x14ac:dyDescent="0.35">
      <c r="A8" s="31">
        <v>2.5</v>
      </c>
      <c r="B8" s="22">
        <v>19.5</v>
      </c>
      <c r="C8" s="5">
        <v>18</v>
      </c>
      <c r="D8" s="29">
        <v>18.5</v>
      </c>
      <c r="E8" s="43">
        <v>17.5</v>
      </c>
      <c r="F8" s="22">
        <v>24</v>
      </c>
      <c r="G8" s="5">
        <v>21</v>
      </c>
      <c r="H8" s="29">
        <v>23</v>
      </c>
      <c r="I8" s="43">
        <v>20</v>
      </c>
      <c r="J8" s="22">
        <v>27</v>
      </c>
      <c r="K8" s="5">
        <v>24</v>
      </c>
      <c r="L8" s="29">
        <v>29</v>
      </c>
      <c r="M8" s="43">
        <v>24</v>
      </c>
      <c r="N8" s="22">
        <v>30</v>
      </c>
      <c r="O8" s="68">
        <v>25</v>
      </c>
      <c r="P8" s="22">
        <v>31</v>
      </c>
      <c r="Q8" s="29">
        <v>24</v>
      </c>
      <c r="R8" s="68">
        <v>25</v>
      </c>
      <c r="S8" s="22">
        <v>34</v>
      </c>
      <c r="T8" s="68">
        <v>29</v>
      </c>
      <c r="W8" s="31">
        <v>6</v>
      </c>
      <c r="X8" s="22">
        <v>34</v>
      </c>
      <c r="Y8" s="5">
        <v>31</v>
      </c>
      <c r="Z8" s="29">
        <v>32</v>
      </c>
      <c r="AA8" s="43">
        <v>29</v>
      </c>
      <c r="AB8" s="22">
        <v>41</v>
      </c>
      <c r="AC8" s="5">
        <v>36</v>
      </c>
      <c r="AD8" s="29">
        <v>38</v>
      </c>
      <c r="AE8" s="43">
        <v>34</v>
      </c>
      <c r="AF8" s="22">
        <v>46</v>
      </c>
      <c r="AG8" s="5">
        <v>41</v>
      </c>
      <c r="AH8" s="29">
        <v>47</v>
      </c>
      <c r="AI8" s="43">
        <v>39</v>
      </c>
      <c r="AJ8" s="22">
        <v>51</v>
      </c>
      <c r="AK8" s="68">
        <v>43</v>
      </c>
      <c r="AL8" s="22">
        <v>53</v>
      </c>
      <c r="AM8" s="29">
        <v>43</v>
      </c>
      <c r="AN8" s="68">
        <v>45</v>
      </c>
      <c r="AO8" s="22">
        <v>59</v>
      </c>
      <c r="AP8" s="68">
        <v>51</v>
      </c>
    </row>
    <row r="9" spans="1:42" x14ac:dyDescent="0.35">
      <c r="A9" s="31">
        <v>4</v>
      </c>
      <c r="B9" s="22">
        <v>26</v>
      </c>
      <c r="C9" s="5">
        <v>24</v>
      </c>
      <c r="D9" s="29">
        <v>25</v>
      </c>
      <c r="E9" s="43">
        <v>23</v>
      </c>
      <c r="F9" s="22">
        <v>32</v>
      </c>
      <c r="G9" s="5">
        <v>28</v>
      </c>
      <c r="H9" s="29">
        <v>30</v>
      </c>
      <c r="I9" s="43">
        <v>27</v>
      </c>
      <c r="J9" s="22">
        <v>36</v>
      </c>
      <c r="K9" s="5">
        <v>32</v>
      </c>
      <c r="L9" s="29">
        <v>38</v>
      </c>
      <c r="M9" s="43">
        <v>31</v>
      </c>
      <c r="N9" s="22">
        <v>40</v>
      </c>
      <c r="O9" s="68">
        <v>34</v>
      </c>
      <c r="P9" s="22">
        <v>41</v>
      </c>
      <c r="Q9" s="29">
        <v>33</v>
      </c>
      <c r="R9" s="68">
        <v>34</v>
      </c>
      <c r="S9" s="22">
        <v>45</v>
      </c>
      <c r="T9" s="68">
        <v>39</v>
      </c>
      <c r="W9" s="31">
        <v>10</v>
      </c>
      <c r="X9" s="22">
        <v>46</v>
      </c>
      <c r="Y9" s="5">
        <v>42</v>
      </c>
      <c r="Z9" s="29">
        <v>43</v>
      </c>
      <c r="AA9" s="43">
        <v>39</v>
      </c>
      <c r="AB9" s="22">
        <v>57</v>
      </c>
      <c r="AC9" s="5">
        <v>50</v>
      </c>
      <c r="AD9" s="29">
        <v>52</v>
      </c>
      <c r="AE9" s="43">
        <v>46</v>
      </c>
      <c r="AF9" s="22">
        <v>63</v>
      </c>
      <c r="AG9" s="5">
        <v>57</v>
      </c>
      <c r="AH9" s="29">
        <v>63</v>
      </c>
      <c r="AI9" s="43">
        <v>52</v>
      </c>
      <c r="AJ9" s="22">
        <v>70</v>
      </c>
      <c r="AK9" s="68">
        <v>60</v>
      </c>
      <c r="AL9" s="22">
        <v>73</v>
      </c>
      <c r="AM9" s="29">
        <v>60</v>
      </c>
      <c r="AN9" s="68">
        <v>63</v>
      </c>
      <c r="AO9" s="22">
        <v>81</v>
      </c>
      <c r="AP9" s="68">
        <v>71</v>
      </c>
    </row>
    <row r="10" spans="1:42" x14ac:dyDescent="0.35">
      <c r="A10" s="31">
        <v>6</v>
      </c>
      <c r="B10" s="22">
        <v>34</v>
      </c>
      <c r="C10" s="5">
        <v>31</v>
      </c>
      <c r="D10" s="29">
        <v>32</v>
      </c>
      <c r="E10" s="43">
        <v>29</v>
      </c>
      <c r="F10" s="22">
        <v>41</v>
      </c>
      <c r="G10" s="5">
        <v>36</v>
      </c>
      <c r="H10" s="29">
        <v>38</v>
      </c>
      <c r="I10" s="43">
        <v>34</v>
      </c>
      <c r="J10" s="22">
        <v>46</v>
      </c>
      <c r="K10" s="5">
        <v>41</v>
      </c>
      <c r="L10" s="29">
        <v>47</v>
      </c>
      <c r="M10" s="43">
        <v>39</v>
      </c>
      <c r="N10" s="22">
        <v>51</v>
      </c>
      <c r="O10" s="68">
        <v>43</v>
      </c>
      <c r="P10" s="22">
        <v>53</v>
      </c>
      <c r="Q10" s="29">
        <v>43</v>
      </c>
      <c r="R10" s="68">
        <v>45</v>
      </c>
      <c r="S10" s="22">
        <v>59</v>
      </c>
      <c r="T10" s="68">
        <v>51</v>
      </c>
      <c r="W10" s="31">
        <v>16</v>
      </c>
      <c r="X10" s="22">
        <v>61</v>
      </c>
      <c r="Y10" s="5">
        <v>56</v>
      </c>
      <c r="Z10" s="29">
        <v>57</v>
      </c>
      <c r="AA10" s="43">
        <v>52</v>
      </c>
      <c r="AB10" s="22">
        <v>76</v>
      </c>
      <c r="AC10" s="5">
        <v>68</v>
      </c>
      <c r="AD10" s="29">
        <v>69</v>
      </c>
      <c r="AE10" s="43">
        <v>62</v>
      </c>
      <c r="AF10" s="22">
        <v>85</v>
      </c>
      <c r="AG10" s="5">
        <v>76</v>
      </c>
      <c r="AH10" s="29">
        <v>81</v>
      </c>
      <c r="AI10" s="43">
        <v>67</v>
      </c>
      <c r="AJ10" s="22">
        <v>94</v>
      </c>
      <c r="AK10" s="68">
        <v>80</v>
      </c>
      <c r="AL10" s="22">
        <v>99</v>
      </c>
      <c r="AM10" s="29">
        <v>82</v>
      </c>
      <c r="AN10" s="68">
        <v>85</v>
      </c>
      <c r="AO10" s="22">
        <v>110</v>
      </c>
      <c r="AP10" s="68">
        <v>97</v>
      </c>
    </row>
    <row r="11" spans="1:42" x14ac:dyDescent="0.35">
      <c r="A11" s="31">
        <v>10</v>
      </c>
      <c r="B11" s="22">
        <v>46</v>
      </c>
      <c r="C11" s="5">
        <v>42</v>
      </c>
      <c r="D11" s="29">
        <v>43</v>
      </c>
      <c r="E11" s="43">
        <v>39</v>
      </c>
      <c r="F11" s="22">
        <v>57</v>
      </c>
      <c r="G11" s="5">
        <v>50</v>
      </c>
      <c r="H11" s="29">
        <v>52</v>
      </c>
      <c r="I11" s="43">
        <v>46</v>
      </c>
      <c r="J11" s="22">
        <v>63</v>
      </c>
      <c r="K11" s="5">
        <v>57</v>
      </c>
      <c r="L11" s="29">
        <v>63</v>
      </c>
      <c r="M11" s="43">
        <v>52</v>
      </c>
      <c r="N11" s="22">
        <v>70</v>
      </c>
      <c r="O11" s="68">
        <v>60</v>
      </c>
      <c r="P11" s="22">
        <v>73</v>
      </c>
      <c r="Q11" s="29">
        <v>60</v>
      </c>
      <c r="R11" s="68">
        <v>63</v>
      </c>
      <c r="S11" s="22">
        <v>81</v>
      </c>
      <c r="T11" s="68">
        <v>71</v>
      </c>
      <c r="W11" s="31">
        <v>25</v>
      </c>
      <c r="X11" s="22">
        <v>80</v>
      </c>
      <c r="Y11" s="5">
        <v>73</v>
      </c>
      <c r="Z11" s="29">
        <v>75</v>
      </c>
      <c r="AA11" s="43">
        <v>68</v>
      </c>
      <c r="AB11" s="22">
        <v>101</v>
      </c>
      <c r="AC11" s="5">
        <v>89</v>
      </c>
      <c r="AD11" s="29">
        <v>90</v>
      </c>
      <c r="AE11" s="43">
        <v>80</v>
      </c>
      <c r="AF11" s="22">
        <v>112</v>
      </c>
      <c r="AG11" s="5">
        <v>96</v>
      </c>
      <c r="AH11" s="29">
        <v>104</v>
      </c>
      <c r="AI11" s="43">
        <v>86</v>
      </c>
      <c r="AJ11" s="22">
        <v>119</v>
      </c>
      <c r="AK11" s="68">
        <v>101</v>
      </c>
      <c r="AL11" s="22">
        <v>131</v>
      </c>
      <c r="AM11" s="29">
        <v>110</v>
      </c>
      <c r="AN11" s="68">
        <v>114</v>
      </c>
      <c r="AO11" s="22">
        <v>146</v>
      </c>
      <c r="AP11" s="68">
        <v>130</v>
      </c>
    </row>
    <row r="12" spans="1:42" x14ac:dyDescent="0.35">
      <c r="A12" s="31">
        <v>16</v>
      </c>
      <c r="B12" s="22">
        <v>61</v>
      </c>
      <c r="C12" s="5">
        <v>56</v>
      </c>
      <c r="D12" s="29">
        <v>57</v>
      </c>
      <c r="E12" s="43">
        <v>52</v>
      </c>
      <c r="F12" s="22">
        <v>76</v>
      </c>
      <c r="G12" s="5">
        <v>68</v>
      </c>
      <c r="H12" s="29">
        <v>69</v>
      </c>
      <c r="I12" s="43">
        <v>62</v>
      </c>
      <c r="J12" s="22">
        <v>85</v>
      </c>
      <c r="K12" s="5">
        <v>76</v>
      </c>
      <c r="L12" s="29">
        <v>81</v>
      </c>
      <c r="M12" s="43">
        <v>67</v>
      </c>
      <c r="N12" s="22">
        <v>94</v>
      </c>
      <c r="O12" s="68">
        <v>80</v>
      </c>
      <c r="P12" s="22">
        <v>99</v>
      </c>
      <c r="Q12" s="29">
        <v>82</v>
      </c>
      <c r="R12" s="68">
        <v>85</v>
      </c>
      <c r="S12" s="22">
        <v>110</v>
      </c>
      <c r="T12" s="68">
        <v>97</v>
      </c>
      <c r="W12" s="31">
        <v>35</v>
      </c>
      <c r="X12" s="22">
        <v>99</v>
      </c>
      <c r="Y12" s="5">
        <v>89</v>
      </c>
      <c r="Z12" s="29">
        <v>92</v>
      </c>
      <c r="AA12" s="43">
        <v>83</v>
      </c>
      <c r="AB12" s="22">
        <v>125</v>
      </c>
      <c r="AC12" s="5">
        <v>110</v>
      </c>
      <c r="AD12" s="29">
        <v>11</v>
      </c>
      <c r="AE12" s="43">
        <v>99</v>
      </c>
      <c r="AF12" s="22">
        <v>138</v>
      </c>
      <c r="AG12" s="5">
        <v>119</v>
      </c>
      <c r="AH12" s="29">
        <v>125</v>
      </c>
      <c r="AI12" s="43">
        <v>103</v>
      </c>
      <c r="AJ12" s="22">
        <v>148</v>
      </c>
      <c r="AK12" s="68">
        <v>126</v>
      </c>
      <c r="AL12" s="22">
        <v>162</v>
      </c>
      <c r="AM12" s="29">
        <v>137</v>
      </c>
      <c r="AN12" s="68">
        <v>143</v>
      </c>
      <c r="AO12" s="22">
        <v>181</v>
      </c>
      <c r="AP12" s="68">
        <v>162</v>
      </c>
    </row>
    <row r="13" spans="1:42" x14ac:dyDescent="0.35">
      <c r="A13" s="31">
        <v>25</v>
      </c>
      <c r="B13" s="22">
        <v>80</v>
      </c>
      <c r="C13" s="5">
        <v>73</v>
      </c>
      <c r="D13" s="29">
        <v>75</v>
      </c>
      <c r="E13" s="43">
        <v>68</v>
      </c>
      <c r="F13" s="22">
        <v>101</v>
      </c>
      <c r="G13" s="5">
        <v>89</v>
      </c>
      <c r="H13" s="29">
        <v>90</v>
      </c>
      <c r="I13" s="43">
        <v>80</v>
      </c>
      <c r="J13" s="22">
        <v>112</v>
      </c>
      <c r="K13" s="5">
        <v>96</v>
      </c>
      <c r="L13" s="29">
        <v>104</v>
      </c>
      <c r="M13" s="43">
        <v>86</v>
      </c>
      <c r="N13" s="22">
        <v>119</v>
      </c>
      <c r="O13" s="68">
        <v>101</v>
      </c>
      <c r="P13" s="22">
        <v>131</v>
      </c>
      <c r="Q13" s="29">
        <v>110</v>
      </c>
      <c r="R13" s="68">
        <v>114</v>
      </c>
      <c r="S13" s="22">
        <v>146</v>
      </c>
      <c r="T13" s="68">
        <v>130</v>
      </c>
      <c r="W13" s="31">
        <v>50</v>
      </c>
      <c r="X13" s="22">
        <v>119</v>
      </c>
      <c r="Y13" s="5">
        <v>108</v>
      </c>
      <c r="Z13" s="29">
        <v>110</v>
      </c>
      <c r="AA13" s="43">
        <v>99</v>
      </c>
      <c r="AB13" s="22">
        <v>151</v>
      </c>
      <c r="AC13" s="5">
        <v>134</v>
      </c>
      <c r="AD13" s="29">
        <v>133</v>
      </c>
      <c r="AE13" s="43">
        <v>118</v>
      </c>
      <c r="AF13" s="22">
        <v>168</v>
      </c>
      <c r="AG13" s="5">
        <v>144</v>
      </c>
      <c r="AH13" s="29">
        <v>148</v>
      </c>
      <c r="AI13" s="43">
        <v>122</v>
      </c>
      <c r="AJ13" s="22">
        <v>180</v>
      </c>
      <c r="AK13" s="68">
        <v>153</v>
      </c>
      <c r="AL13" s="22">
        <v>196</v>
      </c>
      <c r="AM13" s="29">
        <v>167</v>
      </c>
      <c r="AN13" s="68">
        <v>174</v>
      </c>
      <c r="AO13" s="22">
        <v>219</v>
      </c>
      <c r="AP13" s="68">
        <v>197</v>
      </c>
    </row>
    <row r="14" spans="1:42" x14ac:dyDescent="0.35">
      <c r="A14" s="31">
        <v>35</v>
      </c>
      <c r="B14" s="22">
        <v>99</v>
      </c>
      <c r="C14" s="5">
        <v>89</v>
      </c>
      <c r="D14" s="29">
        <v>92</v>
      </c>
      <c r="E14" s="43">
        <v>83</v>
      </c>
      <c r="F14" s="22">
        <v>125</v>
      </c>
      <c r="G14" s="5">
        <v>110</v>
      </c>
      <c r="H14" s="29">
        <v>11</v>
      </c>
      <c r="I14" s="43">
        <v>99</v>
      </c>
      <c r="J14" s="22">
        <v>138</v>
      </c>
      <c r="K14" s="5">
        <v>119</v>
      </c>
      <c r="L14" s="29">
        <v>125</v>
      </c>
      <c r="M14" s="43">
        <v>103</v>
      </c>
      <c r="N14" s="22">
        <v>148</v>
      </c>
      <c r="O14" s="68">
        <v>126</v>
      </c>
      <c r="P14" s="22">
        <v>162</v>
      </c>
      <c r="Q14" s="29">
        <v>137</v>
      </c>
      <c r="R14" s="68">
        <v>143</v>
      </c>
      <c r="S14" s="22">
        <v>181</v>
      </c>
      <c r="T14" s="68">
        <v>162</v>
      </c>
      <c r="W14" s="31">
        <v>70</v>
      </c>
      <c r="X14" s="22">
        <v>151</v>
      </c>
      <c r="Y14" s="5">
        <v>136</v>
      </c>
      <c r="Z14" s="29">
        <v>139</v>
      </c>
      <c r="AA14" s="43">
        <v>125</v>
      </c>
      <c r="AB14" s="22">
        <v>192</v>
      </c>
      <c r="AC14" s="5">
        <v>171</v>
      </c>
      <c r="AD14" s="29">
        <v>168</v>
      </c>
      <c r="AE14" s="43">
        <v>149</v>
      </c>
      <c r="AF14" s="22">
        <v>213</v>
      </c>
      <c r="AG14" s="5">
        <v>184</v>
      </c>
      <c r="AH14" s="29">
        <v>193</v>
      </c>
      <c r="AI14" s="43">
        <v>151</v>
      </c>
      <c r="AJ14" s="22">
        <v>232</v>
      </c>
      <c r="AK14" s="68">
        <v>196</v>
      </c>
      <c r="AL14" s="22">
        <v>251</v>
      </c>
      <c r="AM14" s="29">
        <v>216</v>
      </c>
      <c r="AN14" s="68">
        <v>225</v>
      </c>
      <c r="AO14" s="22">
        <v>281</v>
      </c>
      <c r="AP14" s="68">
        <v>254</v>
      </c>
    </row>
    <row r="15" spans="1:42" x14ac:dyDescent="0.35">
      <c r="A15" s="31">
        <v>50</v>
      </c>
      <c r="B15" s="22">
        <v>119</v>
      </c>
      <c r="C15" s="5">
        <v>108</v>
      </c>
      <c r="D15" s="29">
        <v>110</v>
      </c>
      <c r="E15" s="43">
        <v>99</v>
      </c>
      <c r="F15" s="22">
        <v>151</v>
      </c>
      <c r="G15" s="5">
        <v>134</v>
      </c>
      <c r="H15" s="29">
        <v>133</v>
      </c>
      <c r="I15" s="43">
        <v>118</v>
      </c>
      <c r="J15" s="22">
        <v>168</v>
      </c>
      <c r="K15" s="5">
        <v>144</v>
      </c>
      <c r="L15" s="29">
        <v>148</v>
      </c>
      <c r="M15" s="43">
        <v>122</v>
      </c>
      <c r="N15" s="22">
        <v>180</v>
      </c>
      <c r="O15" s="68">
        <v>153</v>
      </c>
      <c r="P15" s="22">
        <v>196</v>
      </c>
      <c r="Q15" s="29">
        <v>167</v>
      </c>
      <c r="R15" s="68">
        <v>174</v>
      </c>
      <c r="S15" s="22">
        <v>219</v>
      </c>
      <c r="T15" s="68">
        <v>197</v>
      </c>
      <c r="W15" s="31">
        <v>95</v>
      </c>
      <c r="X15" s="22">
        <v>182</v>
      </c>
      <c r="Y15" s="5">
        <v>164</v>
      </c>
      <c r="Z15" s="29">
        <v>167</v>
      </c>
      <c r="AA15" s="43">
        <v>150</v>
      </c>
      <c r="AB15" s="22">
        <v>232</v>
      </c>
      <c r="AC15" s="5">
        <v>207</v>
      </c>
      <c r="AD15" s="29">
        <v>201</v>
      </c>
      <c r="AE15" s="43">
        <v>179</v>
      </c>
      <c r="AF15" s="22">
        <v>258</v>
      </c>
      <c r="AG15" s="5">
        <v>223</v>
      </c>
      <c r="AH15" s="29">
        <v>216</v>
      </c>
      <c r="AI15" s="43">
        <v>179</v>
      </c>
      <c r="AJ15" s="22">
        <v>282</v>
      </c>
      <c r="AK15" s="68">
        <v>238</v>
      </c>
      <c r="AL15" s="22">
        <v>304</v>
      </c>
      <c r="AM15" s="29">
        <v>264</v>
      </c>
      <c r="AN15" s="68">
        <v>275</v>
      </c>
      <c r="AO15" s="22">
        <v>341</v>
      </c>
      <c r="AP15" s="68">
        <v>311</v>
      </c>
    </row>
    <row r="16" spans="1:42" x14ac:dyDescent="0.35">
      <c r="A16" s="31">
        <v>70</v>
      </c>
      <c r="B16" s="22">
        <v>151</v>
      </c>
      <c r="C16" s="5">
        <v>136</v>
      </c>
      <c r="D16" s="29">
        <v>139</v>
      </c>
      <c r="E16" s="43">
        <v>125</v>
      </c>
      <c r="F16" s="22">
        <v>192</v>
      </c>
      <c r="G16" s="5">
        <v>171</v>
      </c>
      <c r="H16" s="29">
        <v>168</v>
      </c>
      <c r="I16" s="43">
        <v>149</v>
      </c>
      <c r="J16" s="22">
        <v>213</v>
      </c>
      <c r="K16" s="5">
        <v>184</v>
      </c>
      <c r="L16" s="29">
        <v>193</v>
      </c>
      <c r="M16" s="43">
        <v>151</v>
      </c>
      <c r="N16" s="22">
        <v>232</v>
      </c>
      <c r="O16" s="68">
        <v>196</v>
      </c>
      <c r="P16" s="22">
        <v>251</v>
      </c>
      <c r="Q16" s="29">
        <v>216</v>
      </c>
      <c r="R16" s="68">
        <v>225</v>
      </c>
      <c r="S16" s="22">
        <v>281</v>
      </c>
      <c r="T16" s="68">
        <v>254</v>
      </c>
      <c r="W16" s="31">
        <v>120</v>
      </c>
      <c r="X16" s="22">
        <v>210</v>
      </c>
      <c r="Y16" s="5">
        <v>188</v>
      </c>
      <c r="Z16" s="29">
        <v>192</v>
      </c>
      <c r="AA16" s="43">
        <v>172</v>
      </c>
      <c r="AB16" s="22">
        <v>269</v>
      </c>
      <c r="AC16" s="5">
        <v>239</v>
      </c>
      <c r="AD16" s="29">
        <v>232</v>
      </c>
      <c r="AE16" s="43">
        <v>206</v>
      </c>
      <c r="AF16" s="22">
        <v>299</v>
      </c>
      <c r="AG16" s="5">
        <v>259</v>
      </c>
      <c r="AH16" s="29">
        <v>246</v>
      </c>
      <c r="AI16" s="43">
        <v>203</v>
      </c>
      <c r="AJ16" s="22">
        <v>328</v>
      </c>
      <c r="AK16" s="68">
        <v>276</v>
      </c>
      <c r="AL16" s="22">
        <v>352</v>
      </c>
      <c r="AM16" s="29">
        <v>308</v>
      </c>
      <c r="AN16" s="68">
        <v>321</v>
      </c>
      <c r="AO16" s="22">
        <v>396</v>
      </c>
      <c r="AP16" s="68">
        <v>362</v>
      </c>
    </row>
    <row r="17" spans="1:42" x14ac:dyDescent="0.35">
      <c r="A17" s="31">
        <v>95</v>
      </c>
      <c r="B17" s="22">
        <v>182</v>
      </c>
      <c r="C17" s="5">
        <v>164</v>
      </c>
      <c r="D17" s="29">
        <v>167</v>
      </c>
      <c r="E17" s="43">
        <v>150</v>
      </c>
      <c r="F17" s="22">
        <v>232</v>
      </c>
      <c r="G17" s="5">
        <v>207</v>
      </c>
      <c r="H17" s="29">
        <v>201</v>
      </c>
      <c r="I17" s="43">
        <v>179</v>
      </c>
      <c r="J17" s="22">
        <v>258</v>
      </c>
      <c r="K17" s="5">
        <v>223</v>
      </c>
      <c r="L17" s="29">
        <v>216</v>
      </c>
      <c r="M17" s="43">
        <v>179</v>
      </c>
      <c r="N17" s="22">
        <v>282</v>
      </c>
      <c r="O17" s="68">
        <v>238</v>
      </c>
      <c r="P17" s="22">
        <v>304</v>
      </c>
      <c r="Q17" s="29">
        <v>264</v>
      </c>
      <c r="R17" s="68">
        <v>275</v>
      </c>
      <c r="S17" s="22">
        <v>341</v>
      </c>
      <c r="T17" s="68">
        <v>311</v>
      </c>
      <c r="W17" s="31">
        <v>150</v>
      </c>
      <c r="X17" s="22">
        <v>240</v>
      </c>
      <c r="Y17" s="5">
        <v>216</v>
      </c>
      <c r="Z17" s="29">
        <v>219</v>
      </c>
      <c r="AA17" s="43">
        <v>196</v>
      </c>
      <c r="AB17" s="22">
        <v>309</v>
      </c>
      <c r="AC17" s="5">
        <v>275</v>
      </c>
      <c r="AD17" s="29">
        <v>265</v>
      </c>
      <c r="AE17" s="43">
        <v>236</v>
      </c>
      <c r="AF17" s="22">
        <v>344</v>
      </c>
      <c r="AG17" s="5">
        <v>299</v>
      </c>
      <c r="AH17" s="29">
        <v>278</v>
      </c>
      <c r="AI17" s="43">
        <v>230</v>
      </c>
      <c r="AJ17" s="22">
        <v>379</v>
      </c>
      <c r="AK17" s="68">
        <v>319</v>
      </c>
      <c r="AL17" s="22">
        <v>406</v>
      </c>
      <c r="AM17" s="29">
        <v>356</v>
      </c>
      <c r="AN17" s="68">
        <v>372</v>
      </c>
      <c r="AO17" s="22">
        <v>456</v>
      </c>
      <c r="AP17" s="68">
        <v>419</v>
      </c>
    </row>
    <row r="18" spans="1:42" x14ac:dyDescent="0.35">
      <c r="A18" s="31">
        <v>120</v>
      </c>
      <c r="B18" s="22">
        <v>210</v>
      </c>
      <c r="C18" s="5">
        <v>188</v>
      </c>
      <c r="D18" s="29">
        <v>192</v>
      </c>
      <c r="E18" s="43">
        <v>172</v>
      </c>
      <c r="F18" s="22">
        <v>269</v>
      </c>
      <c r="G18" s="5">
        <v>239</v>
      </c>
      <c r="H18" s="29">
        <v>232</v>
      </c>
      <c r="I18" s="43">
        <v>206</v>
      </c>
      <c r="J18" s="22">
        <v>299</v>
      </c>
      <c r="K18" s="5">
        <v>259</v>
      </c>
      <c r="L18" s="29">
        <v>246</v>
      </c>
      <c r="M18" s="43">
        <v>203</v>
      </c>
      <c r="N18" s="22">
        <v>328</v>
      </c>
      <c r="O18" s="68">
        <v>276</v>
      </c>
      <c r="P18" s="22">
        <v>352</v>
      </c>
      <c r="Q18" s="29">
        <v>308</v>
      </c>
      <c r="R18" s="68">
        <v>321</v>
      </c>
      <c r="S18" s="22">
        <v>396</v>
      </c>
      <c r="T18" s="68">
        <v>362</v>
      </c>
      <c r="W18" s="31">
        <v>185</v>
      </c>
      <c r="X18" s="22">
        <v>273</v>
      </c>
      <c r="Y18" s="5">
        <v>245</v>
      </c>
      <c r="Z18" s="29">
        <v>248</v>
      </c>
      <c r="AA18" s="43">
        <v>223</v>
      </c>
      <c r="AB18" s="22">
        <v>353</v>
      </c>
      <c r="AC18" s="5">
        <v>314</v>
      </c>
      <c r="AD18" s="29">
        <v>300</v>
      </c>
      <c r="AE18" s="43">
        <v>268</v>
      </c>
      <c r="AF18" s="22">
        <v>392</v>
      </c>
      <c r="AG18" s="5">
        <v>341</v>
      </c>
      <c r="AH18" s="29">
        <v>312</v>
      </c>
      <c r="AI18" s="43">
        <v>258</v>
      </c>
      <c r="AJ18" s="22">
        <v>434</v>
      </c>
      <c r="AK18" s="68">
        <v>364</v>
      </c>
      <c r="AL18" s="22">
        <v>463</v>
      </c>
      <c r="AM18" s="29">
        <v>409</v>
      </c>
      <c r="AN18" s="68">
        <v>427</v>
      </c>
      <c r="AO18" s="22">
        <v>521</v>
      </c>
      <c r="AP18" s="68">
        <v>480</v>
      </c>
    </row>
    <row r="19" spans="1:42" x14ac:dyDescent="0.35">
      <c r="A19" s="31">
        <v>150</v>
      </c>
      <c r="B19" s="22">
        <v>240</v>
      </c>
      <c r="C19" s="5">
        <v>216</v>
      </c>
      <c r="D19" s="29">
        <v>219</v>
      </c>
      <c r="E19" s="43">
        <v>196</v>
      </c>
      <c r="F19" s="22">
        <v>309</v>
      </c>
      <c r="G19" s="5">
        <v>275</v>
      </c>
      <c r="H19" s="29">
        <v>265</v>
      </c>
      <c r="I19" s="43">
        <v>236</v>
      </c>
      <c r="J19" s="22">
        <v>344</v>
      </c>
      <c r="K19" s="5">
        <v>299</v>
      </c>
      <c r="L19" s="29">
        <v>278</v>
      </c>
      <c r="M19" s="43">
        <v>230</v>
      </c>
      <c r="N19" s="22">
        <v>379</v>
      </c>
      <c r="O19" s="68">
        <v>319</v>
      </c>
      <c r="P19" s="22">
        <v>406</v>
      </c>
      <c r="Q19" s="29">
        <v>356</v>
      </c>
      <c r="R19" s="68">
        <v>372</v>
      </c>
      <c r="S19" s="22">
        <v>456</v>
      </c>
      <c r="T19" s="68">
        <v>419</v>
      </c>
      <c r="W19" s="31">
        <v>240</v>
      </c>
      <c r="X19" s="22">
        <v>321</v>
      </c>
      <c r="Y19" s="5">
        <v>286</v>
      </c>
      <c r="Z19" s="29">
        <v>291</v>
      </c>
      <c r="AA19" s="43">
        <v>261</v>
      </c>
      <c r="AB19" s="22">
        <v>415</v>
      </c>
      <c r="AC19" s="5">
        <v>370</v>
      </c>
      <c r="AD19" s="29">
        <v>351</v>
      </c>
      <c r="AE19" s="43">
        <v>313</v>
      </c>
      <c r="AF19" s="22">
        <v>461</v>
      </c>
      <c r="AG19" s="5">
        <v>403</v>
      </c>
      <c r="AH19" s="29">
        <v>361</v>
      </c>
      <c r="AI19" s="43">
        <v>297</v>
      </c>
      <c r="AJ19" s="22">
        <v>514</v>
      </c>
      <c r="AK19" s="68">
        <v>430</v>
      </c>
      <c r="AL19" s="22">
        <v>546</v>
      </c>
      <c r="AM19" s="29">
        <v>485</v>
      </c>
      <c r="AN19" s="68">
        <v>507</v>
      </c>
      <c r="AO19" s="22">
        <v>615</v>
      </c>
      <c r="AP19" s="68">
        <v>569</v>
      </c>
    </row>
    <row r="20" spans="1:42" x14ac:dyDescent="0.35">
      <c r="A20" s="31">
        <v>185</v>
      </c>
      <c r="B20" s="22">
        <v>273</v>
      </c>
      <c r="C20" s="5">
        <v>245</v>
      </c>
      <c r="D20" s="29">
        <v>248</v>
      </c>
      <c r="E20" s="43">
        <v>223</v>
      </c>
      <c r="F20" s="22">
        <v>353</v>
      </c>
      <c r="G20" s="5">
        <v>314</v>
      </c>
      <c r="H20" s="29">
        <v>300</v>
      </c>
      <c r="I20" s="43">
        <v>268</v>
      </c>
      <c r="J20" s="22">
        <v>392</v>
      </c>
      <c r="K20" s="5">
        <v>341</v>
      </c>
      <c r="L20" s="29">
        <v>312</v>
      </c>
      <c r="M20" s="43">
        <v>258</v>
      </c>
      <c r="N20" s="22">
        <v>434</v>
      </c>
      <c r="O20" s="68">
        <v>364</v>
      </c>
      <c r="P20" s="22">
        <v>463</v>
      </c>
      <c r="Q20" s="29">
        <v>409</v>
      </c>
      <c r="R20" s="68">
        <v>427</v>
      </c>
      <c r="S20" s="22">
        <v>521</v>
      </c>
      <c r="T20" s="68">
        <v>480</v>
      </c>
      <c r="W20" s="31">
        <v>300</v>
      </c>
      <c r="X20" s="22">
        <v>367</v>
      </c>
      <c r="Y20" s="5">
        <v>328</v>
      </c>
      <c r="Z20" s="29">
        <v>334</v>
      </c>
      <c r="AA20" s="43">
        <v>298</v>
      </c>
      <c r="AB20" s="22">
        <v>477</v>
      </c>
      <c r="AC20" s="5">
        <v>426</v>
      </c>
      <c r="AD20" s="29">
        <v>401</v>
      </c>
      <c r="AE20" s="43">
        <v>358</v>
      </c>
      <c r="AF20" s="22">
        <v>530</v>
      </c>
      <c r="AG20" s="5">
        <v>464</v>
      </c>
      <c r="AH20" s="29">
        <v>408</v>
      </c>
      <c r="AI20" s="43">
        <v>336</v>
      </c>
      <c r="AJ20" s="22">
        <v>593</v>
      </c>
      <c r="AK20" s="68">
        <v>497</v>
      </c>
      <c r="AL20" s="22">
        <v>629</v>
      </c>
      <c r="AM20" s="29">
        <v>561</v>
      </c>
      <c r="AN20" s="68">
        <v>587</v>
      </c>
      <c r="AO20" s="22">
        <v>709</v>
      </c>
      <c r="AP20" s="68">
        <v>659</v>
      </c>
    </row>
    <row r="21" spans="1:42" x14ac:dyDescent="0.35">
      <c r="A21" s="31">
        <v>240</v>
      </c>
      <c r="B21" s="22">
        <v>321</v>
      </c>
      <c r="C21" s="5">
        <v>286</v>
      </c>
      <c r="D21" s="29">
        <v>291</v>
      </c>
      <c r="E21" s="43">
        <v>261</v>
      </c>
      <c r="F21" s="22">
        <v>415</v>
      </c>
      <c r="G21" s="5">
        <v>370</v>
      </c>
      <c r="H21" s="29">
        <v>351</v>
      </c>
      <c r="I21" s="43">
        <v>313</v>
      </c>
      <c r="J21" s="22">
        <v>461</v>
      </c>
      <c r="K21" s="5">
        <v>403</v>
      </c>
      <c r="L21" s="29">
        <v>361</v>
      </c>
      <c r="M21" s="43">
        <v>297</v>
      </c>
      <c r="N21" s="22">
        <v>514</v>
      </c>
      <c r="O21" s="68">
        <v>430</v>
      </c>
      <c r="P21" s="22">
        <v>546</v>
      </c>
      <c r="Q21" s="29">
        <v>485</v>
      </c>
      <c r="R21" s="68">
        <v>507</v>
      </c>
      <c r="S21" s="22">
        <v>615</v>
      </c>
      <c r="T21" s="68">
        <v>569</v>
      </c>
      <c r="W21" s="31">
        <v>400</v>
      </c>
      <c r="X21" s="22">
        <v>438</v>
      </c>
      <c r="Y21" s="5">
        <v>390</v>
      </c>
      <c r="Z21" s="29">
        <v>398</v>
      </c>
      <c r="AA21" s="43">
        <v>355</v>
      </c>
      <c r="AB21" s="22">
        <v>571</v>
      </c>
      <c r="AC21" s="5">
        <v>510</v>
      </c>
      <c r="AD21" s="29">
        <v>477</v>
      </c>
      <c r="AE21" s="43">
        <v>425</v>
      </c>
      <c r="AF21" s="22">
        <v>634</v>
      </c>
      <c r="AG21" s="5">
        <v>557</v>
      </c>
      <c r="AH21" s="29">
        <v>478</v>
      </c>
      <c r="AI21" s="43">
        <v>394</v>
      </c>
      <c r="AJ21" s="22">
        <v>715</v>
      </c>
      <c r="AK21" s="68">
        <v>597</v>
      </c>
      <c r="AL21" s="22">
        <v>754</v>
      </c>
      <c r="AM21" s="29">
        <v>656</v>
      </c>
      <c r="AN21" s="68">
        <v>689</v>
      </c>
      <c r="AO21" s="22">
        <v>852</v>
      </c>
      <c r="AP21" s="68">
        <v>795</v>
      </c>
    </row>
    <row r="22" spans="1:42" x14ac:dyDescent="0.35">
      <c r="A22" s="31">
        <v>300</v>
      </c>
      <c r="B22" s="22">
        <v>367</v>
      </c>
      <c r="C22" s="5">
        <v>328</v>
      </c>
      <c r="D22" s="29">
        <v>334</v>
      </c>
      <c r="E22" s="43">
        <v>298</v>
      </c>
      <c r="F22" s="22">
        <v>477</v>
      </c>
      <c r="G22" s="5">
        <v>426</v>
      </c>
      <c r="H22" s="29">
        <v>401</v>
      </c>
      <c r="I22" s="43">
        <v>358</v>
      </c>
      <c r="J22" s="22">
        <v>530</v>
      </c>
      <c r="K22" s="5">
        <v>464</v>
      </c>
      <c r="L22" s="29">
        <v>408</v>
      </c>
      <c r="M22" s="43">
        <v>336</v>
      </c>
      <c r="N22" s="22">
        <v>593</v>
      </c>
      <c r="O22" s="68">
        <v>497</v>
      </c>
      <c r="P22" s="22">
        <v>629</v>
      </c>
      <c r="Q22" s="29">
        <v>561</v>
      </c>
      <c r="R22" s="68">
        <v>587</v>
      </c>
      <c r="S22" s="22">
        <v>709</v>
      </c>
      <c r="T22" s="68">
        <v>659</v>
      </c>
      <c r="W22" s="31">
        <v>500</v>
      </c>
      <c r="X22" s="22">
        <v>502</v>
      </c>
      <c r="Y22" s="5">
        <v>447</v>
      </c>
      <c r="Z22" s="29">
        <v>456</v>
      </c>
      <c r="AA22" s="43">
        <v>406</v>
      </c>
      <c r="AB22" s="22">
        <v>656</v>
      </c>
      <c r="AC22" s="5">
        <v>587</v>
      </c>
      <c r="AD22" s="29">
        <v>545</v>
      </c>
      <c r="AE22" s="43">
        <v>486</v>
      </c>
      <c r="AF22" s="22">
        <v>729</v>
      </c>
      <c r="AG22" s="5">
        <v>642</v>
      </c>
      <c r="AH22" s="29">
        <v>540</v>
      </c>
      <c r="AI22" s="43">
        <v>445</v>
      </c>
      <c r="AJ22" s="22">
        <v>826</v>
      </c>
      <c r="AK22" s="68">
        <v>689</v>
      </c>
      <c r="AL22" s="22">
        <v>868</v>
      </c>
      <c r="AM22" s="29">
        <v>749</v>
      </c>
      <c r="AN22" s="68">
        <v>789</v>
      </c>
      <c r="AO22" s="22">
        <v>982</v>
      </c>
      <c r="AP22" s="68">
        <v>920</v>
      </c>
    </row>
    <row r="23" spans="1:42" x14ac:dyDescent="0.35">
      <c r="A23" s="31">
        <v>400</v>
      </c>
      <c r="B23" s="22">
        <v>438</v>
      </c>
      <c r="C23" s="5">
        <v>390</v>
      </c>
      <c r="D23" s="29">
        <v>398</v>
      </c>
      <c r="E23" s="43">
        <v>355</v>
      </c>
      <c r="F23" s="22">
        <v>571</v>
      </c>
      <c r="G23" s="5">
        <v>510</v>
      </c>
      <c r="H23" s="29">
        <v>477</v>
      </c>
      <c r="I23" s="43">
        <v>425</v>
      </c>
      <c r="J23" s="22">
        <v>634</v>
      </c>
      <c r="K23" s="5">
        <v>557</v>
      </c>
      <c r="L23" s="29">
        <v>478</v>
      </c>
      <c r="M23" s="43">
        <v>394</v>
      </c>
      <c r="N23" s="22">
        <v>715</v>
      </c>
      <c r="O23" s="68">
        <v>597</v>
      </c>
      <c r="P23" s="22">
        <v>754</v>
      </c>
      <c r="Q23" s="29">
        <v>656</v>
      </c>
      <c r="R23" s="68">
        <v>689</v>
      </c>
      <c r="S23" s="22">
        <v>852</v>
      </c>
      <c r="T23" s="68">
        <v>795</v>
      </c>
      <c r="W23" s="31">
        <v>630</v>
      </c>
      <c r="X23" s="22">
        <v>578</v>
      </c>
      <c r="Y23" s="5">
        <v>514</v>
      </c>
      <c r="Z23" s="29">
        <v>526</v>
      </c>
      <c r="AA23" s="43">
        <v>467</v>
      </c>
      <c r="AB23" s="22">
        <v>458</v>
      </c>
      <c r="AC23" s="5">
        <v>678</v>
      </c>
      <c r="AD23" s="29">
        <v>626</v>
      </c>
      <c r="AE23" s="43">
        <v>559</v>
      </c>
      <c r="AF23" s="22">
        <v>843</v>
      </c>
      <c r="AG23" s="5">
        <v>743</v>
      </c>
      <c r="AH23" s="29">
        <v>614</v>
      </c>
      <c r="AI23" s="5">
        <v>506</v>
      </c>
      <c r="AJ23" s="22">
        <v>958</v>
      </c>
      <c r="AK23" s="68">
        <v>798</v>
      </c>
      <c r="AL23" s="22">
        <v>1005</v>
      </c>
      <c r="AM23" s="29">
        <v>855</v>
      </c>
      <c r="AN23" s="68">
        <v>905</v>
      </c>
      <c r="AO23" s="22">
        <v>1138</v>
      </c>
      <c r="AP23" s="68">
        <v>1070</v>
      </c>
    </row>
    <row r="24" spans="1:42" x14ac:dyDescent="0.35">
      <c r="A24" s="31">
        <v>500</v>
      </c>
      <c r="B24" s="22">
        <v>502</v>
      </c>
      <c r="C24" s="5">
        <v>447</v>
      </c>
      <c r="D24" s="29">
        <v>456</v>
      </c>
      <c r="E24" s="43">
        <v>406</v>
      </c>
      <c r="F24" s="22">
        <v>656</v>
      </c>
      <c r="G24" s="5">
        <v>587</v>
      </c>
      <c r="H24" s="29">
        <v>545</v>
      </c>
      <c r="I24" s="43">
        <v>486</v>
      </c>
      <c r="J24" s="22">
        <v>729</v>
      </c>
      <c r="K24" s="5">
        <v>642</v>
      </c>
      <c r="L24" s="29">
        <v>540</v>
      </c>
      <c r="M24" s="43">
        <v>445</v>
      </c>
      <c r="N24" s="22">
        <v>826</v>
      </c>
      <c r="O24" s="68">
        <v>689</v>
      </c>
      <c r="P24" s="22">
        <v>868</v>
      </c>
      <c r="Q24" s="29">
        <v>749</v>
      </c>
      <c r="R24" s="68">
        <v>789</v>
      </c>
      <c r="S24" s="22">
        <v>982</v>
      </c>
      <c r="T24" s="68">
        <v>920</v>
      </c>
      <c r="W24" s="31">
        <v>800</v>
      </c>
      <c r="X24" s="22">
        <v>669</v>
      </c>
      <c r="Y24" s="5">
        <v>593</v>
      </c>
      <c r="Z24" s="29">
        <v>609</v>
      </c>
      <c r="AA24" s="43">
        <v>540</v>
      </c>
      <c r="AB24" s="22">
        <v>881</v>
      </c>
      <c r="AC24" s="5">
        <v>788</v>
      </c>
      <c r="AD24" s="29">
        <v>723</v>
      </c>
      <c r="AE24" s="43">
        <v>645</v>
      </c>
      <c r="AF24" s="22">
        <v>978</v>
      </c>
      <c r="AG24" s="5">
        <v>865</v>
      </c>
      <c r="AH24" s="29">
        <v>700</v>
      </c>
      <c r="AI24" s="5">
        <v>577</v>
      </c>
      <c r="AJ24" s="22">
        <v>1118</v>
      </c>
      <c r="AK24" s="68">
        <v>930</v>
      </c>
      <c r="AL24" s="22">
        <v>1169</v>
      </c>
      <c r="AM24" s="29">
        <v>971</v>
      </c>
      <c r="AN24" s="68">
        <v>1119</v>
      </c>
      <c r="AO24" s="22">
        <v>1325</v>
      </c>
      <c r="AP24" s="68">
        <v>1251</v>
      </c>
    </row>
    <row r="25" spans="1:42" ht="15" thickBot="1" x14ac:dyDescent="0.4">
      <c r="A25" s="31">
        <v>630</v>
      </c>
      <c r="B25" s="22">
        <v>578</v>
      </c>
      <c r="C25" s="5">
        <v>514</v>
      </c>
      <c r="D25" s="29">
        <v>526</v>
      </c>
      <c r="E25" s="43">
        <v>467</v>
      </c>
      <c r="F25" s="22">
        <v>458</v>
      </c>
      <c r="G25" s="5">
        <v>678</v>
      </c>
      <c r="H25" s="29">
        <v>626</v>
      </c>
      <c r="I25" s="43">
        <v>559</v>
      </c>
      <c r="J25" s="22">
        <v>843</v>
      </c>
      <c r="K25" s="5">
        <v>743</v>
      </c>
      <c r="L25" s="29">
        <v>614</v>
      </c>
      <c r="M25" s="5">
        <v>506</v>
      </c>
      <c r="N25" s="22">
        <v>958</v>
      </c>
      <c r="O25" s="68">
        <v>798</v>
      </c>
      <c r="P25" s="22">
        <v>1005</v>
      </c>
      <c r="Q25" s="29">
        <v>855</v>
      </c>
      <c r="R25" s="68">
        <v>905</v>
      </c>
      <c r="S25" s="22">
        <v>1138</v>
      </c>
      <c r="T25" s="68">
        <v>1070</v>
      </c>
      <c r="W25" s="32">
        <v>1000</v>
      </c>
      <c r="X25" s="6">
        <v>767</v>
      </c>
      <c r="Y25" s="8">
        <v>679</v>
      </c>
      <c r="Z25" s="44">
        <v>698</v>
      </c>
      <c r="AA25" s="45">
        <v>618</v>
      </c>
      <c r="AB25" s="6">
        <v>1012</v>
      </c>
      <c r="AC25" s="8">
        <v>906</v>
      </c>
      <c r="AD25" s="44">
        <v>827</v>
      </c>
      <c r="AE25" s="45">
        <v>738</v>
      </c>
      <c r="AF25" s="6">
        <v>1125</v>
      </c>
      <c r="AG25" s="8">
        <v>996</v>
      </c>
      <c r="AH25" s="44">
        <v>792</v>
      </c>
      <c r="AI25" s="45">
        <v>652</v>
      </c>
      <c r="AJ25" s="6">
        <v>1292</v>
      </c>
      <c r="AK25" s="69">
        <v>1073</v>
      </c>
      <c r="AL25" s="6">
        <v>1346</v>
      </c>
      <c r="AM25" s="44">
        <v>1079</v>
      </c>
      <c r="AN25" s="69">
        <v>1296</v>
      </c>
      <c r="AO25" s="6">
        <v>1528</v>
      </c>
      <c r="AP25" s="69">
        <v>1448</v>
      </c>
    </row>
    <row r="26" spans="1:42" x14ac:dyDescent="0.35">
      <c r="A26" s="31">
        <v>800</v>
      </c>
      <c r="B26" s="22">
        <v>669</v>
      </c>
      <c r="C26" s="5">
        <v>593</v>
      </c>
      <c r="D26" s="29">
        <v>609</v>
      </c>
      <c r="E26" s="43">
        <v>540</v>
      </c>
      <c r="F26" s="22">
        <v>881</v>
      </c>
      <c r="G26" s="5">
        <v>788</v>
      </c>
      <c r="H26" s="29">
        <v>723</v>
      </c>
      <c r="I26" s="43">
        <v>645</v>
      </c>
      <c r="J26" s="22">
        <v>978</v>
      </c>
      <c r="K26" s="5">
        <v>865</v>
      </c>
      <c r="L26" s="29">
        <v>700</v>
      </c>
      <c r="M26" s="5">
        <v>577</v>
      </c>
      <c r="N26" s="22">
        <v>1118</v>
      </c>
      <c r="O26" s="68">
        <v>930</v>
      </c>
      <c r="P26" s="22">
        <v>1169</v>
      </c>
      <c r="Q26" s="29">
        <v>971</v>
      </c>
      <c r="R26" s="68">
        <v>1119</v>
      </c>
      <c r="S26" s="22">
        <v>1325</v>
      </c>
      <c r="T26" s="68">
        <v>1251</v>
      </c>
    </row>
    <row r="27" spans="1:42" ht="15" thickBot="1" x14ac:dyDescent="0.4">
      <c r="A27" s="32">
        <v>1000</v>
      </c>
      <c r="B27" s="6">
        <v>767</v>
      </c>
      <c r="C27" s="8">
        <v>679</v>
      </c>
      <c r="D27" s="44">
        <v>698</v>
      </c>
      <c r="E27" s="45">
        <v>618</v>
      </c>
      <c r="F27" s="6">
        <v>1012</v>
      </c>
      <c r="G27" s="8">
        <v>906</v>
      </c>
      <c r="H27" s="44">
        <v>827</v>
      </c>
      <c r="I27" s="45">
        <v>738</v>
      </c>
      <c r="J27" s="6">
        <v>1125</v>
      </c>
      <c r="K27" s="8">
        <v>996</v>
      </c>
      <c r="L27" s="44">
        <v>792</v>
      </c>
      <c r="M27" s="45">
        <v>652</v>
      </c>
      <c r="N27" s="6">
        <v>1292</v>
      </c>
      <c r="O27" s="69">
        <v>1073</v>
      </c>
      <c r="P27" s="6">
        <v>1346</v>
      </c>
      <c r="Q27" s="44">
        <v>1079</v>
      </c>
      <c r="R27" s="69">
        <v>1296</v>
      </c>
      <c r="S27" s="6">
        <v>1528</v>
      </c>
      <c r="T27" s="69">
        <v>1448</v>
      </c>
    </row>
  </sheetData>
  <mergeCells count="11">
    <mergeCell ref="A1:A3"/>
    <mergeCell ref="B2:C2"/>
    <mergeCell ref="D2:E2"/>
    <mergeCell ref="F2:G2"/>
    <mergeCell ref="H2:I2"/>
    <mergeCell ref="N2:O2"/>
    <mergeCell ref="P2:R2"/>
    <mergeCell ref="S2:T2"/>
    <mergeCell ref="B1:T1"/>
    <mergeCell ref="J2:K2"/>
    <mergeCell ref="L2:M2"/>
  </mergeCells>
  <phoneticPr fontId="9" type="noConversion"/>
  <pageMargins left="0.511811024" right="0.511811024" top="0.78740157499999996" bottom="0.78740157499999996" header="0.31496062000000002" footer="0.31496062000000002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Z52"/>
  <sheetViews>
    <sheetView zoomScaleNormal="100" workbookViewId="0">
      <selection activeCell="Z26" sqref="Z26"/>
    </sheetView>
  </sheetViews>
  <sheetFormatPr defaultRowHeight="14.5" x14ac:dyDescent="0.35"/>
  <cols>
    <col min="1" max="1" width="10.1796875" customWidth="1"/>
  </cols>
  <sheetData>
    <row r="1" spans="1:26" ht="15" thickBot="1" x14ac:dyDescent="0.4">
      <c r="A1" s="256" t="s">
        <v>53</v>
      </c>
      <c r="B1" s="249" t="s">
        <v>79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1"/>
      <c r="U1" s="256" t="s">
        <v>84</v>
      </c>
      <c r="V1" s="256" t="s">
        <v>84</v>
      </c>
      <c r="W1" s="256" t="s">
        <v>84</v>
      </c>
      <c r="X1" s="256" t="s">
        <v>84</v>
      </c>
      <c r="Y1" s="256" t="s">
        <v>84</v>
      </c>
      <c r="Z1" s="256" t="s">
        <v>84</v>
      </c>
    </row>
    <row r="2" spans="1:26" x14ac:dyDescent="0.35">
      <c r="A2" s="257"/>
      <c r="B2" s="252" t="s">
        <v>48</v>
      </c>
      <c r="C2" s="255"/>
      <c r="D2" s="252" t="s">
        <v>49</v>
      </c>
      <c r="E2" s="253"/>
      <c r="F2" s="254" t="s">
        <v>50</v>
      </c>
      <c r="G2" s="255"/>
      <c r="H2" s="252" t="s">
        <v>51</v>
      </c>
      <c r="I2" s="253"/>
      <c r="J2" s="254" t="s">
        <v>10</v>
      </c>
      <c r="K2" s="255"/>
      <c r="L2" s="252" t="s">
        <v>52</v>
      </c>
      <c r="M2" s="253"/>
      <c r="N2" s="259" t="s">
        <v>54</v>
      </c>
      <c r="O2" s="260"/>
      <c r="P2" s="246" t="s">
        <v>55</v>
      </c>
      <c r="Q2" s="248"/>
      <c r="R2" s="247"/>
      <c r="S2" s="259" t="s">
        <v>56</v>
      </c>
      <c r="T2" s="247"/>
      <c r="U2" s="257"/>
      <c r="V2" s="257"/>
      <c r="W2" s="257"/>
      <c r="X2" s="257"/>
      <c r="Y2" s="257"/>
      <c r="Z2" s="257"/>
    </row>
    <row r="3" spans="1:26" ht="15" thickBot="1" x14ac:dyDescent="0.4">
      <c r="A3" s="258"/>
      <c r="B3" s="75">
        <v>2</v>
      </c>
      <c r="C3" s="78">
        <v>3</v>
      </c>
      <c r="D3" s="75">
        <v>2</v>
      </c>
      <c r="E3" s="76">
        <v>3</v>
      </c>
      <c r="F3" s="77">
        <v>2</v>
      </c>
      <c r="G3" s="78">
        <v>3</v>
      </c>
      <c r="H3" s="75">
        <v>2</v>
      </c>
      <c r="I3" s="76">
        <v>3</v>
      </c>
      <c r="J3" s="77">
        <v>2</v>
      </c>
      <c r="K3" s="78">
        <v>3</v>
      </c>
      <c r="L3" s="75">
        <v>2</v>
      </c>
      <c r="M3" s="76">
        <v>3</v>
      </c>
      <c r="N3" s="77">
        <v>2</v>
      </c>
      <c r="O3" s="78">
        <v>3</v>
      </c>
      <c r="P3" s="75">
        <v>2</v>
      </c>
      <c r="Q3" s="79" t="s">
        <v>75</v>
      </c>
      <c r="R3" s="76" t="s">
        <v>76</v>
      </c>
      <c r="S3" s="77" t="s">
        <v>77</v>
      </c>
      <c r="T3" s="76" t="s">
        <v>78</v>
      </c>
      <c r="U3" s="258"/>
      <c r="V3" s="258"/>
      <c r="W3" s="258"/>
      <c r="X3" s="258"/>
      <c r="Y3" s="258"/>
      <c r="Z3" s="258"/>
    </row>
    <row r="4" spans="1:26" x14ac:dyDescent="0.35">
      <c r="A4" s="72">
        <v>0.5</v>
      </c>
      <c r="B4" s="11">
        <v>10</v>
      </c>
      <c r="C4" s="80">
        <v>9</v>
      </c>
      <c r="D4" s="11">
        <v>10</v>
      </c>
      <c r="E4" s="35">
        <v>9</v>
      </c>
      <c r="F4" s="81">
        <v>12</v>
      </c>
      <c r="G4" s="80">
        <v>10</v>
      </c>
      <c r="H4" s="11">
        <v>11</v>
      </c>
      <c r="I4" s="35">
        <v>10</v>
      </c>
      <c r="J4" s="81">
        <v>12</v>
      </c>
      <c r="K4" s="80">
        <v>11</v>
      </c>
      <c r="L4" s="11">
        <v>14</v>
      </c>
      <c r="M4" s="35">
        <v>12</v>
      </c>
      <c r="N4" s="81">
        <v>13</v>
      </c>
      <c r="O4" s="80">
        <v>12</v>
      </c>
      <c r="P4" s="11">
        <v>13</v>
      </c>
      <c r="Q4" s="34">
        <v>10</v>
      </c>
      <c r="R4" s="35">
        <v>10</v>
      </c>
      <c r="S4" s="81">
        <v>15</v>
      </c>
      <c r="T4" s="35">
        <v>12</v>
      </c>
      <c r="U4" s="31">
        <v>0.75</v>
      </c>
      <c r="V4" s="31">
        <v>1</v>
      </c>
      <c r="W4" s="31">
        <v>1.5</v>
      </c>
      <c r="X4" s="31">
        <v>2.5</v>
      </c>
      <c r="Y4" s="31">
        <v>4</v>
      </c>
      <c r="Z4" s="31">
        <v>6</v>
      </c>
    </row>
    <row r="5" spans="1:26" x14ac:dyDescent="0.35">
      <c r="A5" s="73">
        <v>0.75</v>
      </c>
      <c r="B5" s="22">
        <v>12</v>
      </c>
      <c r="C5" s="43">
        <v>11</v>
      </c>
      <c r="D5" s="22">
        <v>12</v>
      </c>
      <c r="E5" s="5">
        <v>11</v>
      </c>
      <c r="F5" s="29">
        <v>15</v>
      </c>
      <c r="G5" s="43">
        <v>13</v>
      </c>
      <c r="H5" s="22">
        <v>15</v>
      </c>
      <c r="I5" s="5">
        <v>13</v>
      </c>
      <c r="J5" s="29">
        <v>16</v>
      </c>
      <c r="K5" s="43">
        <v>14</v>
      </c>
      <c r="L5" s="22">
        <v>18</v>
      </c>
      <c r="M5" s="5">
        <v>15</v>
      </c>
      <c r="N5" s="29">
        <v>17</v>
      </c>
      <c r="O5" s="43">
        <v>15</v>
      </c>
      <c r="P5" s="22">
        <v>17</v>
      </c>
      <c r="Q5" s="3">
        <v>13</v>
      </c>
      <c r="R5" s="5">
        <v>14</v>
      </c>
      <c r="S5" s="29">
        <v>19</v>
      </c>
      <c r="T5" s="5">
        <v>16</v>
      </c>
      <c r="U5" s="31">
        <v>1</v>
      </c>
      <c r="V5" s="31">
        <v>1.5</v>
      </c>
      <c r="W5" s="31">
        <v>2.5</v>
      </c>
      <c r="X5" s="31">
        <v>4</v>
      </c>
      <c r="Y5" s="31">
        <v>6</v>
      </c>
      <c r="Z5" s="31">
        <v>10</v>
      </c>
    </row>
    <row r="6" spans="1:26" x14ac:dyDescent="0.35">
      <c r="A6" s="73">
        <v>1</v>
      </c>
      <c r="B6" s="22">
        <v>15</v>
      </c>
      <c r="C6" s="43">
        <v>13</v>
      </c>
      <c r="D6" s="22">
        <v>14</v>
      </c>
      <c r="E6" s="5">
        <v>13</v>
      </c>
      <c r="F6" s="29">
        <v>18</v>
      </c>
      <c r="G6" s="43">
        <v>16</v>
      </c>
      <c r="H6" s="22">
        <v>17</v>
      </c>
      <c r="I6" s="5">
        <v>15</v>
      </c>
      <c r="J6" s="29">
        <v>19</v>
      </c>
      <c r="K6" s="43">
        <v>17</v>
      </c>
      <c r="L6" s="22">
        <v>21</v>
      </c>
      <c r="M6" s="5">
        <v>17</v>
      </c>
      <c r="N6" s="29">
        <v>21</v>
      </c>
      <c r="O6" s="43">
        <v>18</v>
      </c>
      <c r="P6" s="22">
        <v>21</v>
      </c>
      <c r="Q6" s="3">
        <v>16</v>
      </c>
      <c r="R6" s="5">
        <v>17</v>
      </c>
      <c r="S6" s="29">
        <v>23</v>
      </c>
      <c r="T6" s="5">
        <v>19</v>
      </c>
      <c r="U6" s="31">
        <v>1.5</v>
      </c>
      <c r="V6" s="31">
        <v>2.5</v>
      </c>
      <c r="W6" s="31">
        <v>4</v>
      </c>
      <c r="X6" s="31">
        <v>6</v>
      </c>
      <c r="Y6" s="31">
        <v>10</v>
      </c>
      <c r="Z6" s="31">
        <v>16</v>
      </c>
    </row>
    <row r="7" spans="1:26" x14ac:dyDescent="0.35">
      <c r="A7" s="73">
        <v>1.5</v>
      </c>
      <c r="B7" s="22">
        <v>19</v>
      </c>
      <c r="C7" s="43">
        <v>17</v>
      </c>
      <c r="D7" s="22">
        <v>18.5</v>
      </c>
      <c r="E7" s="5">
        <v>16.5</v>
      </c>
      <c r="F7" s="29">
        <v>23</v>
      </c>
      <c r="G7" s="43">
        <v>20</v>
      </c>
      <c r="H7" s="22">
        <v>22</v>
      </c>
      <c r="I7" s="5">
        <v>19.5</v>
      </c>
      <c r="J7" s="29">
        <v>24</v>
      </c>
      <c r="K7" s="43">
        <v>22</v>
      </c>
      <c r="L7" s="22">
        <v>26</v>
      </c>
      <c r="M7" s="5">
        <v>22</v>
      </c>
      <c r="N7" s="29">
        <v>26</v>
      </c>
      <c r="O7" s="43">
        <v>23</v>
      </c>
      <c r="P7" s="22">
        <v>27</v>
      </c>
      <c r="Q7" s="3">
        <v>21</v>
      </c>
      <c r="R7" s="5">
        <v>22</v>
      </c>
      <c r="S7" s="29">
        <v>30</v>
      </c>
      <c r="T7" s="5">
        <v>25</v>
      </c>
      <c r="U7" s="31">
        <v>2.5</v>
      </c>
      <c r="V7" s="31">
        <v>4</v>
      </c>
      <c r="W7" s="31">
        <v>6</v>
      </c>
      <c r="X7" s="31">
        <v>10</v>
      </c>
      <c r="Y7" s="31">
        <v>16</v>
      </c>
      <c r="Z7" s="31">
        <v>25</v>
      </c>
    </row>
    <row r="8" spans="1:26" x14ac:dyDescent="0.35">
      <c r="A8" s="73">
        <v>2.5</v>
      </c>
      <c r="B8" s="22">
        <v>26</v>
      </c>
      <c r="C8" s="43">
        <v>23</v>
      </c>
      <c r="D8" s="22">
        <v>25</v>
      </c>
      <c r="E8" s="5">
        <v>22</v>
      </c>
      <c r="F8" s="29">
        <v>31</v>
      </c>
      <c r="G8" s="43">
        <v>28</v>
      </c>
      <c r="H8" s="22">
        <v>30</v>
      </c>
      <c r="I8" s="5">
        <v>26</v>
      </c>
      <c r="J8" s="29">
        <v>33</v>
      </c>
      <c r="K8" s="43">
        <v>30</v>
      </c>
      <c r="L8" s="22">
        <v>34</v>
      </c>
      <c r="M8" s="5">
        <v>29</v>
      </c>
      <c r="N8" s="29">
        <v>36</v>
      </c>
      <c r="O8" s="43">
        <v>32</v>
      </c>
      <c r="P8" s="22">
        <v>37</v>
      </c>
      <c r="Q8" s="3">
        <v>29</v>
      </c>
      <c r="R8" s="5">
        <v>30</v>
      </c>
      <c r="S8" s="29">
        <v>41</v>
      </c>
      <c r="T8" s="5">
        <v>35</v>
      </c>
      <c r="U8" s="31">
        <v>4</v>
      </c>
      <c r="V8" s="31">
        <v>6</v>
      </c>
      <c r="W8" s="31">
        <v>10</v>
      </c>
      <c r="X8" s="31">
        <v>16</v>
      </c>
      <c r="Y8" s="31">
        <v>25</v>
      </c>
      <c r="Z8" s="31">
        <v>35</v>
      </c>
    </row>
    <row r="9" spans="1:26" x14ac:dyDescent="0.35">
      <c r="A9" s="73">
        <v>4</v>
      </c>
      <c r="B9" s="22">
        <v>35</v>
      </c>
      <c r="C9" s="43">
        <v>31</v>
      </c>
      <c r="D9" s="22">
        <v>33</v>
      </c>
      <c r="E9" s="5">
        <v>30</v>
      </c>
      <c r="F9" s="29">
        <v>42</v>
      </c>
      <c r="G9" s="43">
        <v>37</v>
      </c>
      <c r="H9" s="22">
        <v>40</v>
      </c>
      <c r="I9" s="5">
        <v>35</v>
      </c>
      <c r="J9" s="29">
        <v>45</v>
      </c>
      <c r="K9" s="43">
        <v>40</v>
      </c>
      <c r="L9" s="22">
        <v>44</v>
      </c>
      <c r="M9" s="5">
        <v>37</v>
      </c>
      <c r="N9" s="29">
        <v>49</v>
      </c>
      <c r="O9" s="43">
        <v>42</v>
      </c>
      <c r="P9" s="22">
        <v>50</v>
      </c>
      <c r="Q9" s="3">
        <v>40</v>
      </c>
      <c r="R9" s="5">
        <v>42</v>
      </c>
      <c r="S9" s="29">
        <v>56</v>
      </c>
      <c r="T9" s="5">
        <v>48</v>
      </c>
      <c r="U9" s="31">
        <v>6</v>
      </c>
      <c r="V9" s="31">
        <v>10</v>
      </c>
      <c r="W9" s="31">
        <v>16</v>
      </c>
      <c r="X9" s="31">
        <v>25</v>
      </c>
      <c r="Y9" s="31">
        <v>35</v>
      </c>
      <c r="Z9" s="31">
        <v>50</v>
      </c>
    </row>
    <row r="10" spans="1:26" x14ac:dyDescent="0.35">
      <c r="A10" s="73">
        <v>6</v>
      </c>
      <c r="B10" s="22">
        <v>45</v>
      </c>
      <c r="C10" s="43">
        <v>40</v>
      </c>
      <c r="D10" s="22">
        <v>42</v>
      </c>
      <c r="E10" s="5">
        <v>38</v>
      </c>
      <c r="F10" s="29">
        <v>54</v>
      </c>
      <c r="G10" s="43">
        <v>48</v>
      </c>
      <c r="H10" s="22">
        <v>51</v>
      </c>
      <c r="I10" s="5">
        <v>44</v>
      </c>
      <c r="J10" s="29">
        <v>58</v>
      </c>
      <c r="K10" s="43">
        <v>52</v>
      </c>
      <c r="L10" s="22">
        <v>56</v>
      </c>
      <c r="M10" s="5">
        <v>46</v>
      </c>
      <c r="N10" s="29">
        <v>63</v>
      </c>
      <c r="O10" s="43">
        <v>54</v>
      </c>
      <c r="P10" s="22">
        <v>65</v>
      </c>
      <c r="Q10" s="3">
        <v>53</v>
      </c>
      <c r="R10" s="5">
        <v>55</v>
      </c>
      <c r="S10" s="29">
        <v>73</v>
      </c>
      <c r="T10" s="5">
        <v>63</v>
      </c>
      <c r="U10" s="31">
        <v>10</v>
      </c>
      <c r="V10" s="31">
        <v>16</v>
      </c>
      <c r="W10" s="31">
        <v>25</v>
      </c>
      <c r="X10" s="31">
        <v>35</v>
      </c>
      <c r="Y10" s="31">
        <v>50</v>
      </c>
      <c r="Z10" s="31">
        <v>70</v>
      </c>
    </row>
    <row r="11" spans="1:26" x14ac:dyDescent="0.35">
      <c r="A11" s="73">
        <v>10</v>
      </c>
      <c r="B11" s="22">
        <v>61</v>
      </c>
      <c r="C11" s="43">
        <v>54</v>
      </c>
      <c r="D11" s="22">
        <v>57</v>
      </c>
      <c r="E11" s="5">
        <v>51</v>
      </c>
      <c r="F11" s="29">
        <v>75</v>
      </c>
      <c r="G11" s="43">
        <v>66</v>
      </c>
      <c r="H11" s="22">
        <v>69</v>
      </c>
      <c r="I11" s="5">
        <v>60</v>
      </c>
      <c r="J11" s="29">
        <v>80</v>
      </c>
      <c r="K11" s="43">
        <v>71</v>
      </c>
      <c r="L11" s="22">
        <v>73</v>
      </c>
      <c r="M11" s="5">
        <v>61</v>
      </c>
      <c r="N11" s="29">
        <v>86</v>
      </c>
      <c r="O11" s="43">
        <v>75</v>
      </c>
      <c r="P11" s="22">
        <v>90</v>
      </c>
      <c r="Q11" s="3">
        <v>74</v>
      </c>
      <c r="R11" s="5">
        <v>77</v>
      </c>
      <c r="S11" s="29">
        <v>101</v>
      </c>
      <c r="T11" s="5">
        <v>88</v>
      </c>
      <c r="U11" s="31">
        <v>16</v>
      </c>
      <c r="V11" s="31">
        <v>25</v>
      </c>
      <c r="W11" s="31">
        <v>35</v>
      </c>
      <c r="X11" s="31">
        <v>50</v>
      </c>
      <c r="Y11" s="31">
        <v>70</v>
      </c>
      <c r="Z11" s="31">
        <v>95</v>
      </c>
    </row>
    <row r="12" spans="1:26" x14ac:dyDescent="0.35">
      <c r="A12" s="73">
        <v>16</v>
      </c>
      <c r="B12" s="22">
        <v>81</v>
      </c>
      <c r="C12" s="43">
        <v>73</v>
      </c>
      <c r="D12" s="22">
        <v>76</v>
      </c>
      <c r="E12" s="5">
        <v>68</v>
      </c>
      <c r="F12" s="29">
        <v>100</v>
      </c>
      <c r="G12" s="43">
        <v>88</v>
      </c>
      <c r="H12" s="22">
        <v>91</v>
      </c>
      <c r="I12" s="5">
        <v>80</v>
      </c>
      <c r="J12" s="29">
        <v>107</v>
      </c>
      <c r="K12" s="43">
        <v>96</v>
      </c>
      <c r="L12" s="22">
        <v>95</v>
      </c>
      <c r="M12" s="5">
        <v>79</v>
      </c>
      <c r="N12" s="29">
        <v>115</v>
      </c>
      <c r="O12" s="43">
        <v>100</v>
      </c>
      <c r="P12" s="22">
        <v>121</v>
      </c>
      <c r="Q12" s="3">
        <v>101</v>
      </c>
      <c r="R12" s="5">
        <v>105</v>
      </c>
      <c r="S12" s="29">
        <v>137</v>
      </c>
      <c r="T12" s="5">
        <v>120</v>
      </c>
      <c r="U12" s="31">
        <v>25</v>
      </c>
      <c r="V12" s="31">
        <v>35</v>
      </c>
      <c r="W12" s="31">
        <v>50</v>
      </c>
      <c r="X12" s="31">
        <v>70</v>
      </c>
      <c r="Y12" s="31">
        <v>95</v>
      </c>
      <c r="Z12" s="31">
        <v>120</v>
      </c>
    </row>
    <row r="13" spans="1:26" x14ac:dyDescent="0.35">
      <c r="A13" s="73">
        <v>25</v>
      </c>
      <c r="B13" s="22">
        <v>106</v>
      </c>
      <c r="C13" s="43">
        <v>95</v>
      </c>
      <c r="D13" s="22">
        <v>99</v>
      </c>
      <c r="E13" s="5">
        <v>89</v>
      </c>
      <c r="F13" s="29">
        <v>133</v>
      </c>
      <c r="G13" s="43">
        <v>117</v>
      </c>
      <c r="H13" s="22">
        <v>119</v>
      </c>
      <c r="I13" s="5">
        <v>105</v>
      </c>
      <c r="J13" s="29">
        <v>138</v>
      </c>
      <c r="K13" s="43">
        <v>119</v>
      </c>
      <c r="L13" s="22">
        <v>121</v>
      </c>
      <c r="M13" s="5">
        <v>101</v>
      </c>
      <c r="N13" s="29">
        <v>149</v>
      </c>
      <c r="O13" s="43">
        <v>127</v>
      </c>
      <c r="P13" s="22">
        <v>161</v>
      </c>
      <c r="Q13" s="3">
        <v>135</v>
      </c>
      <c r="R13" s="5">
        <v>141</v>
      </c>
      <c r="S13" s="29">
        <v>182</v>
      </c>
      <c r="T13" s="5">
        <v>161</v>
      </c>
      <c r="U13" s="31">
        <v>35</v>
      </c>
      <c r="V13" s="31">
        <v>50</v>
      </c>
      <c r="W13" s="31">
        <v>70</v>
      </c>
      <c r="X13" s="31">
        <v>95</v>
      </c>
      <c r="Y13" s="31">
        <v>120</v>
      </c>
      <c r="Z13" s="31">
        <v>150</v>
      </c>
    </row>
    <row r="14" spans="1:26" x14ac:dyDescent="0.35">
      <c r="A14" s="73">
        <v>35</v>
      </c>
      <c r="B14" s="22">
        <v>131</v>
      </c>
      <c r="C14" s="43">
        <v>117</v>
      </c>
      <c r="D14" s="22">
        <v>121</v>
      </c>
      <c r="E14" s="5">
        <v>109</v>
      </c>
      <c r="F14" s="29">
        <v>164</v>
      </c>
      <c r="G14" s="43">
        <v>144</v>
      </c>
      <c r="H14" s="22">
        <v>146</v>
      </c>
      <c r="I14" s="5">
        <v>128</v>
      </c>
      <c r="J14" s="29">
        <v>171</v>
      </c>
      <c r="K14" s="43">
        <v>147</v>
      </c>
      <c r="L14" s="22">
        <v>146</v>
      </c>
      <c r="M14" s="5">
        <v>122</v>
      </c>
      <c r="N14" s="29">
        <v>185</v>
      </c>
      <c r="O14" s="43">
        <v>158</v>
      </c>
      <c r="P14" s="22">
        <v>200</v>
      </c>
      <c r="Q14" s="3">
        <v>169</v>
      </c>
      <c r="R14" s="5">
        <v>176</v>
      </c>
      <c r="S14" s="29">
        <v>226</v>
      </c>
      <c r="T14" s="5">
        <v>201</v>
      </c>
      <c r="U14" s="31">
        <v>50</v>
      </c>
      <c r="V14" s="31">
        <v>70</v>
      </c>
      <c r="W14" s="31">
        <v>95</v>
      </c>
      <c r="X14" s="31">
        <v>120</v>
      </c>
      <c r="Y14" s="31">
        <v>150</v>
      </c>
      <c r="Z14" s="31">
        <v>185</v>
      </c>
    </row>
    <row r="15" spans="1:26" x14ac:dyDescent="0.35">
      <c r="A15" s="73">
        <v>50</v>
      </c>
      <c r="B15" s="22">
        <v>158</v>
      </c>
      <c r="C15" s="43">
        <v>141</v>
      </c>
      <c r="D15" s="22">
        <v>145</v>
      </c>
      <c r="E15" s="5">
        <v>130</v>
      </c>
      <c r="F15" s="29">
        <v>198</v>
      </c>
      <c r="G15" s="43">
        <v>175</v>
      </c>
      <c r="H15" s="22">
        <v>175</v>
      </c>
      <c r="I15" s="5">
        <v>154</v>
      </c>
      <c r="J15" s="29">
        <v>209</v>
      </c>
      <c r="K15" s="43">
        <v>179</v>
      </c>
      <c r="L15" s="22">
        <v>173</v>
      </c>
      <c r="M15" s="5">
        <v>144</v>
      </c>
      <c r="N15" s="29">
        <v>225</v>
      </c>
      <c r="O15" s="43">
        <v>192</v>
      </c>
      <c r="P15" s="22">
        <v>242</v>
      </c>
      <c r="Q15" s="3">
        <v>207</v>
      </c>
      <c r="R15" s="5">
        <v>216</v>
      </c>
      <c r="S15" s="29">
        <v>275</v>
      </c>
      <c r="T15" s="5">
        <v>246</v>
      </c>
      <c r="U15" s="31">
        <v>70</v>
      </c>
      <c r="V15" s="31">
        <v>95</v>
      </c>
      <c r="W15" s="31">
        <v>120</v>
      </c>
      <c r="X15" s="31">
        <v>150</v>
      </c>
      <c r="Y15" s="31">
        <v>185</v>
      </c>
      <c r="Z15" s="31">
        <v>240</v>
      </c>
    </row>
    <row r="16" spans="1:26" x14ac:dyDescent="0.35">
      <c r="A16" s="73">
        <v>70</v>
      </c>
      <c r="B16" s="22">
        <v>200</v>
      </c>
      <c r="C16" s="43">
        <v>179</v>
      </c>
      <c r="D16" s="22">
        <v>183</v>
      </c>
      <c r="E16" s="5">
        <v>164</v>
      </c>
      <c r="F16" s="29">
        <v>253</v>
      </c>
      <c r="G16" s="43">
        <v>222</v>
      </c>
      <c r="H16" s="22">
        <v>221</v>
      </c>
      <c r="I16" s="5">
        <v>194</v>
      </c>
      <c r="J16" s="29">
        <v>269</v>
      </c>
      <c r="K16" s="43">
        <v>229</v>
      </c>
      <c r="L16" s="22">
        <v>213</v>
      </c>
      <c r="M16" s="5">
        <v>178</v>
      </c>
      <c r="N16" s="29">
        <v>289</v>
      </c>
      <c r="O16" s="43">
        <v>246</v>
      </c>
      <c r="P16" s="22">
        <v>310</v>
      </c>
      <c r="Q16" s="3">
        <v>268</v>
      </c>
      <c r="R16" s="5">
        <v>279</v>
      </c>
      <c r="S16" s="29">
        <v>353</v>
      </c>
      <c r="T16" s="5">
        <v>318</v>
      </c>
      <c r="U16" s="31">
        <v>95</v>
      </c>
      <c r="V16" s="31">
        <v>120</v>
      </c>
      <c r="W16" s="31">
        <v>150</v>
      </c>
      <c r="X16" s="31">
        <v>185</v>
      </c>
      <c r="Y16" s="31">
        <v>240</v>
      </c>
      <c r="Z16" s="31">
        <v>300</v>
      </c>
    </row>
    <row r="17" spans="1:26" x14ac:dyDescent="0.35">
      <c r="A17" s="73">
        <v>95</v>
      </c>
      <c r="B17" s="22">
        <v>241</v>
      </c>
      <c r="C17" s="43">
        <v>216</v>
      </c>
      <c r="D17" s="22">
        <v>220</v>
      </c>
      <c r="E17" s="5">
        <v>197</v>
      </c>
      <c r="F17" s="29">
        <v>306</v>
      </c>
      <c r="G17" s="43">
        <v>269</v>
      </c>
      <c r="H17" s="22">
        <v>265</v>
      </c>
      <c r="I17" s="5">
        <v>233</v>
      </c>
      <c r="J17" s="29">
        <v>328</v>
      </c>
      <c r="K17" s="43">
        <v>278</v>
      </c>
      <c r="L17" s="22">
        <v>252</v>
      </c>
      <c r="M17" s="5">
        <v>211</v>
      </c>
      <c r="N17" s="29">
        <v>352</v>
      </c>
      <c r="O17" s="43">
        <v>298</v>
      </c>
      <c r="P17" s="22">
        <v>377</v>
      </c>
      <c r="Q17" s="3">
        <v>328</v>
      </c>
      <c r="R17" s="5">
        <v>342</v>
      </c>
      <c r="S17" s="29">
        <v>430</v>
      </c>
      <c r="T17" s="5">
        <v>389</v>
      </c>
      <c r="U17" s="31">
        <v>120</v>
      </c>
      <c r="V17" s="31">
        <v>150</v>
      </c>
      <c r="W17" s="31">
        <v>185</v>
      </c>
      <c r="X17" s="31">
        <v>240</v>
      </c>
      <c r="Y17" s="31">
        <v>300</v>
      </c>
      <c r="Z17" s="31">
        <v>400</v>
      </c>
    </row>
    <row r="18" spans="1:26" x14ac:dyDescent="0.35">
      <c r="A18" s="73">
        <v>120</v>
      </c>
      <c r="B18" s="22">
        <v>278</v>
      </c>
      <c r="C18" s="43">
        <v>249</v>
      </c>
      <c r="D18" s="22">
        <v>253</v>
      </c>
      <c r="E18" s="5">
        <v>227</v>
      </c>
      <c r="F18" s="29">
        <v>354</v>
      </c>
      <c r="G18" s="43">
        <v>312</v>
      </c>
      <c r="H18" s="22">
        <v>305</v>
      </c>
      <c r="I18" s="5">
        <v>268</v>
      </c>
      <c r="J18" s="29">
        <v>382</v>
      </c>
      <c r="K18" s="43">
        <v>322</v>
      </c>
      <c r="L18" s="22">
        <v>287</v>
      </c>
      <c r="M18" s="5">
        <v>240</v>
      </c>
      <c r="N18" s="29">
        <v>410</v>
      </c>
      <c r="O18" s="43">
        <v>346</v>
      </c>
      <c r="P18" s="22">
        <v>437</v>
      </c>
      <c r="Q18" s="3">
        <v>383</v>
      </c>
      <c r="R18" s="5">
        <v>400</v>
      </c>
      <c r="S18" s="29">
        <v>500</v>
      </c>
      <c r="T18" s="5">
        <v>454</v>
      </c>
      <c r="U18" s="31">
        <v>150</v>
      </c>
      <c r="V18" s="31">
        <v>185</v>
      </c>
      <c r="W18" s="31">
        <v>240</v>
      </c>
      <c r="X18" s="31">
        <v>300</v>
      </c>
      <c r="Y18" s="31">
        <v>400</v>
      </c>
      <c r="Z18" s="31">
        <v>500</v>
      </c>
    </row>
    <row r="19" spans="1:26" x14ac:dyDescent="0.35">
      <c r="A19" s="73">
        <v>150</v>
      </c>
      <c r="B19" s="22">
        <v>318</v>
      </c>
      <c r="C19" s="43">
        <v>285</v>
      </c>
      <c r="D19" s="22">
        <v>290</v>
      </c>
      <c r="E19" s="5">
        <v>259</v>
      </c>
      <c r="F19" s="29">
        <v>407</v>
      </c>
      <c r="G19" s="43">
        <v>358</v>
      </c>
      <c r="H19" s="22">
        <v>349</v>
      </c>
      <c r="I19" s="5">
        <v>307</v>
      </c>
      <c r="J19" s="29">
        <v>441</v>
      </c>
      <c r="K19" s="43">
        <v>371</v>
      </c>
      <c r="L19" s="22">
        <v>324</v>
      </c>
      <c r="M19" s="5">
        <v>271</v>
      </c>
      <c r="N19" s="29">
        <v>473</v>
      </c>
      <c r="O19" s="43">
        <v>399</v>
      </c>
      <c r="P19" s="22">
        <v>504</v>
      </c>
      <c r="Q19" s="3">
        <v>444</v>
      </c>
      <c r="R19" s="5">
        <v>464</v>
      </c>
      <c r="S19" s="29">
        <v>577</v>
      </c>
      <c r="T19" s="5">
        <v>527</v>
      </c>
      <c r="U19" s="31">
        <v>185</v>
      </c>
      <c r="V19" s="31">
        <v>240</v>
      </c>
      <c r="W19" s="31">
        <v>300</v>
      </c>
      <c r="X19" s="31">
        <v>400</v>
      </c>
      <c r="Y19" s="31">
        <v>500</v>
      </c>
      <c r="Z19" s="31">
        <v>630</v>
      </c>
    </row>
    <row r="20" spans="1:26" x14ac:dyDescent="0.35">
      <c r="A20" s="73">
        <v>185</v>
      </c>
      <c r="B20" s="22">
        <v>362</v>
      </c>
      <c r="C20" s="43">
        <v>324</v>
      </c>
      <c r="D20" s="22">
        <v>329</v>
      </c>
      <c r="E20" s="5">
        <v>295</v>
      </c>
      <c r="F20" s="29">
        <v>464</v>
      </c>
      <c r="G20" s="43">
        <v>408</v>
      </c>
      <c r="H20" s="22">
        <v>395</v>
      </c>
      <c r="I20" s="5">
        <v>348</v>
      </c>
      <c r="J20" s="29">
        <v>506</v>
      </c>
      <c r="K20" s="43">
        <v>424</v>
      </c>
      <c r="L20" s="22">
        <v>363</v>
      </c>
      <c r="M20" s="5">
        <v>304</v>
      </c>
      <c r="N20" s="29">
        <v>542</v>
      </c>
      <c r="O20" s="43">
        <v>456</v>
      </c>
      <c r="P20" s="22">
        <v>575</v>
      </c>
      <c r="Q20" s="3">
        <v>510</v>
      </c>
      <c r="R20" s="5">
        <v>533</v>
      </c>
      <c r="S20" s="29">
        <v>661</v>
      </c>
      <c r="T20" s="5">
        <v>605</v>
      </c>
      <c r="U20" s="31">
        <v>240</v>
      </c>
      <c r="V20" s="31">
        <v>300</v>
      </c>
      <c r="W20" s="31">
        <v>400</v>
      </c>
      <c r="X20" s="31">
        <v>500</v>
      </c>
      <c r="Y20" s="31">
        <v>630</v>
      </c>
      <c r="Z20" s="31">
        <v>800</v>
      </c>
    </row>
    <row r="21" spans="1:26" ht="15" thickBot="1" x14ac:dyDescent="0.4">
      <c r="A21" s="73">
        <v>240</v>
      </c>
      <c r="B21" s="22">
        <v>424</v>
      </c>
      <c r="C21" s="43">
        <v>380</v>
      </c>
      <c r="D21" s="22">
        <v>386</v>
      </c>
      <c r="E21" s="5">
        <v>346</v>
      </c>
      <c r="F21" s="29">
        <v>546</v>
      </c>
      <c r="G21" s="43">
        <v>481</v>
      </c>
      <c r="H21" s="22">
        <v>462</v>
      </c>
      <c r="I21" s="5">
        <v>407</v>
      </c>
      <c r="J21" s="29">
        <v>599</v>
      </c>
      <c r="K21" s="43">
        <v>500</v>
      </c>
      <c r="L21" s="22">
        <v>419</v>
      </c>
      <c r="M21" s="5">
        <v>351</v>
      </c>
      <c r="N21" s="29">
        <v>641</v>
      </c>
      <c r="O21" s="43">
        <v>538</v>
      </c>
      <c r="P21" s="22">
        <v>679</v>
      </c>
      <c r="Q21" s="3">
        <v>607</v>
      </c>
      <c r="R21" s="5">
        <v>634</v>
      </c>
      <c r="S21" s="29">
        <v>781</v>
      </c>
      <c r="T21" s="5">
        <v>719</v>
      </c>
      <c r="U21" s="31">
        <v>300</v>
      </c>
      <c r="V21" s="31">
        <v>400</v>
      </c>
      <c r="W21" s="31">
        <v>500</v>
      </c>
      <c r="X21" s="31">
        <v>630</v>
      </c>
      <c r="Y21" s="31">
        <v>800</v>
      </c>
      <c r="Z21" s="32">
        <v>1000</v>
      </c>
    </row>
    <row r="22" spans="1:26" ht="15" thickBot="1" x14ac:dyDescent="0.4">
      <c r="A22" s="73">
        <v>300</v>
      </c>
      <c r="B22" s="22">
        <v>486</v>
      </c>
      <c r="C22" s="43">
        <v>435</v>
      </c>
      <c r="D22" s="22">
        <v>442</v>
      </c>
      <c r="E22" s="5">
        <v>396</v>
      </c>
      <c r="F22" s="29">
        <v>628</v>
      </c>
      <c r="G22" s="43">
        <v>553</v>
      </c>
      <c r="H22" s="22">
        <v>529</v>
      </c>
      <c r="I22" s="5">
        <v>465</v>
      </c>
      <c r="J22" s="29">
        <v>693</v>
      </c>
      <c r="K22" s="43">
        <v>576</v>
      </c>
      <c r="L22" s="22">
        <v>474</v>
      </c>
      <c r="M22" s="5">
        <v>396</v>
      </c>
      <c r="N22" s="29">
        <v>741</v>
      </c>
      <c r="O22" s="43">
        <v>621</v>
      </c>
      <c r="P22" s="22">
        <v>783</v>
      </c>
      <c r="Q22" s="3">
        <v>703</v>
      </c>
      <c r="R22" s="5">
        <v>736</v>
      </c>
      <c r="S22" s="29">
        <v>902</v>
      </c>
      <c r="T22" s="5">
        <v>833</v>
      </c>
      <c r="U22" s="31">
        <v>400</v>
      </c>
      <c r="V22" s="31">
        <v>500</v>
      </c>
      <c r="W22" s="31">
        <v>630</v>
      </c>
      <c r="X22" s="31">
        <v>800</v>
      </c>
      <c r="Y22" s="32">
        <v>1000</v>
      </c>
    </row>
    <row r="23" spans="1:26" ht="15" thickBot="1" x14ac:dyDescent="0.4">
      <c r="A23" s="73">
        <v>400</v>
      </c>
      <c r="B23" s="22">
        <v>579</v>
      </c>
      <c r="C23" s="43">
        <v>519</v>
      </c>
      <c r="D23" s="22">
        <v>527</v>
      </c>
      <c r="E23" s="5">
        <v>472</v>
      </c>
      <c r="F23" s="29">
        <v>751</v>
      </c>
      <c r="G23" s="43">
        <v>661</v>
      </c>
      <c r="H23" s="22">
        <v>628</v>
      </c>
      <c r="I23" s="5">
        <v>552</v>
      </c>
      <c r="J23" s="29">
        <v>835</v>
      </c>
      <c r="K23" s="43">
        <v>692</v>
      </c>
      <c r="L23" s="22">
        <v>555</v>
      </c>
      <c r="M23" s="5">
        <v>464</v>
      </c>
      <c r="N23" s="29">
        <v>892</v>
      </c>
      <c r="O23" s="43">
        <v>745</v>
      </c>
      <c r="P23" s="22">
        <v>940</v>
      </c>
      <c r="Q23" s="3">
        <v>823</v>
      </c>
      <c r="R23" s="5">
        <v>868</v>
      </c>
      <c r="S23" s="29">
        <v>1085</v>
      </c>
      <c r="T23" s="5">
        <v>1008</v>
      </c>
      <c r="U23" s="31">
        <v>500</v>
      </c>
      <c r="V23" s="31">
        <v>630</v>
      </c>
      <c r="W23" s="31">
        <v>800</v>
      </c>
      <c r="X23" s="32">
        <v>1000</v>
      </c>
    </row>
    <row r="24" spans="1:26" ht="15" thickBot="1" x14ac:dyDescent="0.4">
      <c r="A24" s="73">
        <v>500</v>
      </c>
      <c r="B24" s="22">
        <v>664</v>
      </c>
      <c r="C24" s="43">
        <v>595</v>
      </c>
      <c r="D24" s="22">
        <v>604</v>
      </c>
      <c r="E24" s="5">
        <v>541</v>
      </c>
      <c r="F24" s="29">
        <v>864</v>
      </c>
      <c r="G24" s="43">
        <v>760</v>
      </c>
      <c r="H24" s="22">
        <v>718</v>
      </c>
      <c r="I24" s="5">
        <v>631</v>
      </c>
      <c r="J24" s="29">
        <v>966</v>
      </c>
      <c r="K24" s="43">
        <v>797</v>
      </c>
      <c r="L24" s="22">
        <v>627</v>
      </c>
      <c r="M24" s="5">
        <v>525</v>
      </c>
      <c r="N24" s="29">
        <v>1030</v>
      </c>
      <c r="O24" s="43">
        <v>859</v>
      </c>
      <c r="P24" s="22">
        <v>1083</v>
      </c>
      <c r="Q24" s="3">
        <v>946</v>
      </c>
      <c r="R24" s="5">
        <v>998</v>
      </c>
      <c r="S24" s="29">
        <v>1253</v>
      </c>
      <c r="T24" s="5">
        <v>1169</v>
      </c>
      <c r="U24" s="31">
        <v>630</v>
      </c>
      <c r="V24" s="31">
        <v>800</v>
      </c>
      <c r="W24" s="32">
        <v>1000</v>
      </c>
    </row>
    <row r="25" spans="1:26" ht="15" thickBot="1" x14ac:dyDescent="0.4">
      <c r="A25" s="73">
        <v>630</v>
      </c>
      <c r="B25" s="22">
        <v>765</v>
      </c>
      <c r="C25" s="43">
        <v>685</v>
      </c>
      <c r="D25" s="22">
        <v>696</v>
      </c>
      <c r="E25" s="5">
        <v>623</v>
      </c>
      <c r="F25" s="29">
        <v>998</v>
      </c>
      <c r="G25" s="43">
        <v>879</v>
      </c>
      <c r="H25" s="22">
        <v>825</v>
      </c>
      <c r="I25" s="5">
        <v>725</v>
      </c>
      <c r="J25" s="29">
        <v>1122</v>
      </c>
      <c r="K25" s="43">
        <v>923</v>
      </c>
      <c r="L25" s="22">
        <v>711</v>
      </c>
      <c r="M25" s="5">
        <v>596</v>
      </c>
      <c r="N25" s="29">
        <v>1196</v>
      </c>
      <c r="O25" s="43">
        <v>995</v>
      </c>
      <c r="P25" s="22">
        <v>1254</v>
      </c>
      <c r="Q25" s="3">
        <v>1088</v>
      </c>
      <c r="R25" s="5">
        <v>1151</v>
      </c>
      <c r="S25" s="29">
        <v>1454</v>
      </c>
      <c r="T25" s="5">
        <v>1362</v>
      </c>
      <c r="U25" s="31">
        <v>800</v>
      </c>
      <c r="V25" s="32">
        <v>1000</v>
      </c>
    </row>
    <row r="26" spans="1:26" ht="15" thickBot="1" x14ac:dyDescent="0.4">
      <c r="A26" s="73">
        <v>800</v>
      </c>
      <c r="B26" s="22">
        <v>885</v>
      </c>
      <c r="C26" s="43">
        <v>792</v>
      </c>
      <c r="D26" s="22">
        <v>805</v>
      </c>
      <c r="E26" s="5">
        <v>721</v>
      </c>
      <c r="F26" s="29">
        <v>1158</v>
      </c>
      <c r="G26" s="43">
        <v>1020</v>
      </c>
      <c r="H26" s="22">
        <v>952</v>
      </c>
      <c r="I26" s="5">
        <v>837</v>
      </c>
      <c r="J26" s="29">
        <v>1311</v>
      </c>
      <c r="K26" s="43">
        <v>1074</v>
      </c>
      <c r="L26" s="22">
        <v>811</v>
      </c>
      <c r="M26" s="5">
        <v>679</v>
      </c>
      <c r="N26" s="29">
        <v>1396</v>
      </c>
      <c r="O26" s="43">
        <v>1159</v>
      </c>
      <c r="P26" s="22">
        <v>1460</v>
      </c>
      <c r="Q26" s="3">
        <v>1252</v>
      </c>
      <c r="R26" s="5">
        <v>1328</v>
      </c>
      <c r="S26" s="29">
        <v>1696</v>
      </c>
      <c r="T26" s="5">
        <v>1595</v>
      </c>
      <c r="U26" s="32">
        <v>1000</v>
      </c>
    </row>
    <row r="27" spans="1:26" ht="15" thickBot="1" x14ac:dyDescent="0.4">
      <c r="A27" s="74">
        <v>1000</v>
      </c>
      <c r="B27" s="6">
        <v>1014</v>
      </c>
      <c r="C27" s="45">
        <v>908</v>
      </c>
      <c r="D27" s="6">
        <v>923</v>
      </c>
      <c r="E27" s="8">
        <v>826</v>
      </c>
      <c r="F27" s="44">
        <v>1332</v>
      </c>
      <c r="G27" s="45">
        <v>1173</v>
      </c>
      <c r="H27" s="6">
        <v>1088</v>
      </c>
      <c r="I27" s="8">
        <v>957</v>
      </c>
      <c r="J27" s="44">
        <v>1515</v>
      </c>
      <c r="K27" s="45">
        <v>1237</v>
      </c>
      <c r="L27" s="6">
        <v>916</v>
      </c>
      <c r="M27" s="8">
        <v>767</v>
      </c>
      <c r="N27" s="44">
        <v>1613</v>
      </c>
      <c r="O27" s="45">
        <v>1336</v>
      </c>
      <c r="P27" s="6">
        <v>1683</v>
      </c>
      <c r="Q27" s="7">
        <v>1420</v>
      </c>
      <c r="R27" s="8">
        <v>1511</v>
      </c>
      <c r="S27" s="44">
        <v>1958</v>
      </c>
      <c r="T27" s="8">
        <v>1849</v>
      </c>
    </row>
    <row r="29" spans="1:26" x14ac:dyDescent="0.35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</row>
    <row r="30" spans="1:26" x14ac:dyDescent="0.35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</row>
    <row r="31" spans="1:26" x14ac:dyDescent="0.35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</row>
    <row r="32" spans="1:26" x14ac:dyDescent="0.35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</row>
    <row r="33" spans="1:20" x14ac:dyDescent="0.35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</row>
    <row r="34" spans="1:20" x14ac:dyDescent="0.35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</row>
    <row r="35" spans="1:20" x14ac:dyDescent="0.3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</row>
    <row r="36" spans="1:20" x14ac:dyDescent="0.35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</row>
    <row r="37" spans="1:20" x14ac:dyDescent="0.35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</row>
    <row r="38" spans="1:20" x14ac:dyDescent="0.35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</row>
    <row r="39" spans="1:20" x14ac:dyDescent="0.35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</row>
    <row r="40" spans="1:20" x14ac:dyDescent="0.35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</row>
    <row r="41" spans="1:20" x14ac:dyDescent="0.35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</row>
    <row r="42" spans="1:20" x14ac:dyDescent="0.35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</row>
    <row r="43" spans="1:20" x14ac:dyDescent="0.35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</row>
    <row r="44" spans="1:20" x14ac:dyDescent="0.3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</row>
    <row r="45" spans="1:20" x14ac:dyDescent="0.35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</row>
    <row r="46" spans="1:20" x14ac:dyDescent="0.35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</row>
    <row r="47" spans="1:20" x14ac:dyDescent="0.35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</row>
    <row r="48" spans="1:20" x14ac:dyDescent="0.35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</row>
    <row r="49" spans="1:20" x14ac:dyDescent="0.35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</row>
    <row r="50" spans="1:20" x14ac:dyDescent="0.35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</row>
    <row r="51" spans="1:20" x14ac:dyDescent="0.35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</row>
    <row r="52" spans="1:20" x14ac:dyDescent="0.35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</row>
  </sheetData>
  <mergeCells count="17">
    <mergeCell ref="X1:X3"/>
    <mergeCell ref="Y1:Y3"/>
    <mergeCell ref="Z1:Z3"/>
    <mergeCell ref="V1:V3"/>
    <mergeCell ref="W1:W3"/>
    <mergeCell ref="S2:T2"/>
    <mergeCell ref="U1:U3"/>
    <mergeCell ref="A1:A3"/>
    <mergeCell ref="B1:T1"/>
    <mergeCell ref="B2:C2"/>
    <mergeCell ref="D2:E2"/>
    <mergeCell ref="F2:G2"/>
    <mergeCell ref="H2:I2"/>
    <mergeCell ref="J2:K2"/>
    <mergeCell ref="L2:M2"/>
    <mergeCell ref="N2:O2"/>
    <mergeCell ref="P2:R2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>
    <pageSetUpPr fitToPage="1"/>
  </sheetPr>
  <dimension ref="A1:I60"/>
  <sheetViews>
    <sheetView workbookViewId="0">
      <selection activeCell="A14" sqref="A14:XFD14"/>
    </sheetView>
  </sheetViews>
  <sheetFormatPr defaultColWidth="9.1796875" defaultRowHeight="14.5" x14ac:dyDescent="0.35"/>
  <cols>
    <col min="1" max="1" width="8.26953125" style="134" bestFit="1" customWidth="1"/>
    <col min="2" max="2" width="9.26953125" style="134" bestFit="1" customWidth="1"/>
    <col min="3" max="3" width="7" style="134" bestFit="1" customWidth="1"/>
    <col min="4" max="4" width="15.453125" style="134" bestFit="1" customWidth="1"/>
    <col min="5" max="5" width="6.54296875" style="134" bestFit="1" customWidth="1"/>
    <col min="6" max="6" width="11" style="134" bestFit="1" customWidth="1"/>
    <col min="7" max="7" width="11.1796875" style="134" bestFit="1" customWidth="1"/>
    <col min="8" max="8" width="14.1796875" style="134" customWidth="1"/>
    <col min="9" max="9" width="11.1796875" style="134" bestFit="1" customWidth="1"/>
    <col min="10" max="16384" width="9.1796875" style="134"/>
  </cols>
  <sheetData>
    <row r="1" spans="1:9" ht="29" x14ac:dyDescent="0.35">
      <c r="A1" s="135" t="s">
        <v>103</v>
      </c>
      <c r="B1" s="135" t="s">
        <v>104</v>
      </c>
      <c r="C1" s="135" t="s">
        <v>105</v>
      </c>
      <c r="D1" s="135" t="s">
        <v>106</v>
      </c>
      <c r="E1" s="135" t="s">
        <v>107</v>
      </c>
      <c r="F1" s="135" t="s">
        <v>108</v>
      </c>
      <c r="G1" s="135" t="s">
        <v>109</v>
      </c>
      <c r="H1" s="135" t="s">
        <v>113</v>
      </c>
      <c r="I1" s="135" t="s">
        <v>109</v>
      </c>
    </row>
    <row r="2" spans="1:9" hidden="1" x14ac:dyDescent="0.35">
      <c r="A2" s="135">
        <v>1000</v>
      </c>
      <c r="B2" s="135"/>
      <c r="C2" s="135"/>
      <c r="D2" s="135"/>
      <c r="E2" s="135"/>
      <c r="F2" s="135"/>
      <c r="G2" s="135"/>
      <c r="H2" s="3">
        <v>1000</v>
      </c>
      <c r="I2" s="3">
        <v>1420</v>
      </c>
    </row>
    <row r="3" spans="1:9" hidden="1" x14ac:dyDescent="0.35">
      <c r="A3" s="135">
        <v>900</v>
      </c>
      <c r="B3" s="135"/>
      <c r="C3" s="135"/>
      <c r="D3" s="135"/>
      <c r="E3" s="135"/>
      <c r="F3" s="135"/>
      <c r="G3" s="135"/>
      <c r="H3" s="3">
        <v>800</v>
      </c>
      <c r="I3" s="3">
        <v>1252</v>
      </c>
    </row>
    <row r="4" spans="1:9" hidden="1" x14ac:dyDescent="0.35">
      <c r="A4" s="135">
        <v>800</v>
      </c>
      <c r="B4" s="135"/>
      <c r="C4" s="135"/>
      <c r="D4" s="135"/>
      <c r="E4" s="135"/>
      <c r="F4" s="135"/>
      <c r="G4" s="135"/>
      <c r="H4" s="3">
        <v>630</v>
      </c>
      <c r="I4" s="3">
        <v>1088</v>
      </c>
    </row>
    <row r="5" spans="1:9" hidden="1" x14ac:dyDescent="0.35">
      <c r="A5" s="135">
        <v>750</v>
      </c>
      <c r="B5" s="135"/>
      <c r="C5" s="135"/>
      <c r="D5" s="135"/>
      <c r="E5" s="135"/>
      <c r="F5" s="135"/>
      <c r="G5" s="135"/>
      <c r="H5" s="3">
        <v>500</v>
      </c>
      <c r="I5" s="3">
        <v>946</v>
      </c>
    </row>
    <row r="6" spans="1:9" hidden="1" x14ac:dyDescent="0.35">
      <c r="A6" s="135">
        <v>700</v>
      </c>
      <c r="B6" s="135"/>
      <c r="C6" s="135"/>
      <c r="D6" s="135"/>
      <c r="E6" s="135"/>
      <c r="F6" s="135"/>
      <c r="G6" s="135"/>
      <c r="H6" s="3">
        <v>400</v>
      </c>
      <c r="I6" s="3">
        <v>823</v>
      </c>
    </row>
    <row r="7" spans="1:9" hidden="1" x14ac:dyDescent="0.35">
      <c r="A7" s="135">
        <v>600</v>
      </c>
      <c r="B7" s="135"/>
      <c r="C7" s="135"/>
      <c r="D7" s="135"/>
      <c r="E7" s="135"/>
      <c r="F7" s="135"/>
      <c r="G7" s="135"/>
      <c r="H7" s="3">
        <v>300</v>
      </c>
      <c r="I7" s="3">
        <v>703</v>
      </c>
    </row>
    <row r="8" spans="1:9" x14ac:dyDescent="0.35">
      <c r="A8" s="135">
        <v>500</v>
      </c>
      <c r="B8" s="135"/>
      <c r="C8" s="135"/>
      <c r="D8" s="135"/>
      <c r="E8" s="135"/>
      <c r="F8" s="135"/>
      <c r="G8" s="135">
        <v>552</v>
      </c>
      <c r="H8" s="3">
        <v>240</v>
      </c>
      <c r="I8" s="3">
        <v>607</v>
      </c>
    </row>
    <row r="9" spans="1:9" x14ac:dyDescent="0.35">
      <c r="A9" s="135">
        <v>400</v>
      </c>
      <c r="B9" s="135"/>
      <c r="C9" s="135"/>
      <c r="D9" s="135"/>
      <c r="E9" s="135"/>
      <c r="F9" s="135"/>
      <c r="G9" s="135">
        <v>479</v>
      </c>
      <c r="H9" s="3">
        <v>185</v>
      </c>
      <c r="I9" s="3">
        <v>510</v>
      </c>
    </row>
    <row r="10" spans="1:9" x14ac:dyDescent="0.35">
      <c r="A10" s="135">
        <v>350</v>
      </c>
      <c r="B10" s="135"/>
      <c r="C10" s="135"/>
      <c r="D10" s="135"/>
      <c r="E10" s="135"/>
      <c r="F10" s="135"/>
      <c r="G10" s="135">
        <v>438</v>
      </c>
      <c r="H10" s="3">
        <v>150</v>
      </c>
      <c r="I10" s="3">
        <v>444</v>
      </c>
    </row>
    <row r="11" spans="1:9" x14ac:dyDescent="0.35">
      <c r="A11" s="135">
        <v>300</v>
      </c>
      <c r="B11" s="135"/>
      <c r="C11" s="135"/>
      <c r="D11" s="135"/>
      <c r="E11" s="135"/>
      <c r="F11" s="135"/>
      <c r="G11" s="135">
        <v>397</v>
      </c>
      <c r="H11" s="3">
        <v>150</v>
      </c>
      <c r="I11" s="3">
        <v>444</v>
      </c>
    </row>
    <row r="12" spans="1:9" x14ac:dyDescent="0.35">
      <c r="A12" s="135">
        <v>250</v>
      </c>
      <c r="B12" s="135"/>
      <c r="C12" s="135"/>
      <c r="D12" s="135"/>
      <c r="E12" s="135"/>
      <c r="F12" s="135"/>
      <c r="G12" s="135">
        <v>351</v>
      </c>
      <c r="H12" s="3">
        <v>120</v>
      </c>
      <c r="I12" s="3">
        <v>383</v>
      </c>
    </row>
    <row r="13" spans="1:9" x14ac:dyDescent="0.35">
      <c r="A13" s="136" t="s">
        <v>110</v>
      </c>
      <c r="B13" s="137">
        <v>11.86</v>
      </c>
      <c r="C13" s="137">
        <v>107.2</v>
      </c>
      <c r="D13" s="137"/>
      <c r="E13" s="137"/>
      <c r="F13" s="137">
        <v>0.158</v>
      </c>
      <c r="G13" s="137">
        <v>319</v>
      </c>
      <c r="H13" s="3">
        <v>95</v>
      </c>
      <c r="I13" s="3">
        <v>328</v>
      </c>
    </row>
    <row r="14" spans="1:9" x14ac:dyDescent="0.35">
      <c r="A14" s="136" t="s">
        <v>111</v>
      </c>
      <c r="B14" s="137">
        <v>10.4</v>
      </c>
      <c r="C14" s="137">
        <v>85.3</v>
      </c>
      <c r="D14" s="137"/>
      <c r="E14" s="137"/>
      <c r="F14" s="137">
        <v>0.19700000000000001</v>
      </c>
      <c r="G14" s="137">
        <v>240</v>
      </c>
      <c r="H14" s="3">
        <v>70</v>
      </c>
      <c r="I14" s="3">
        <v>268</v>
      </c>
    </row>
    <row r="15" spans="1:9" x14ac:dyDescent="0.35">
      <c r="A15" s="136" t="s">
        <v>112</v>
      </c>
      <c r="B15" s="137">
        <v>9.2260000000000009</v>
      </c>
      <c r="C15" s="137">
        <v>67.430000000000007</v>
      </c>
      <c r="D15" s="137"/>
      <c r="E15" s="137"/>
      <c r="F15" s="137">
        <v>0.252</v>
      </c>
      <c r="G15" s="137">
        <v>190</v>
      </c>
      <c r="H15" s="3">
        <v>50</v>
      </c>
      <c r="I15" s="3">
        <v>207</v>
      </c>
    </row>
    <row r="16" spans="1:9" x14ac:dyDescent="0.35">
      <c r="A16" s="136">
        <v>0</v>
      </c>
      <c r="B16" s="137">
        <v>8.2520000000000007</v>
      </c>
      <c r="C16" s="137">
        <v>53.48</v>
      </c>
      <c r="D16" s="137"/>
      <c r="E16" s="137"/>
      <c r="F16" s="137">
        <v>0.317</v>
      </c>
      <c r="G16" s="137">
        <v>150</v>
      </c>
      <c r="H16" s="3">
        <v>35</v>
      </c>
      <c r="I16" s="3">
        <v>169</v>
      </c>
    </row>
    <row r="17" spans="1:9" x14ac:dyDescent="0.35">
      <c r="A17" s="137">
        <v>1</v>
      </c>
      <c r="B17" s="137">
        <v>7.3479999999999999</v>
      </c>
      <c r="C17" s="137">
        <v>42.41</v>
      </c>
      <c r="D17" s="137"/>
      <c r="E17" s="137">
        <v>375</v>
      </c>
      <c r="F17" s="137">
        <v>1.4</v>
      </c>
      <c r="G17" s="137">
        <v>120</v>
      </c>
      <c r="H17" s="3">
        <v>25</v>
      </c>
      <c r="I17" s="3">
        <v>135</v>
      </c>
    </row>
    <row r="18" spans="1:9" x14ac:dyDescent="0.35">
      <c r="A18" s="137">
        <v>2</v>
      </c>
      <c r="B18" s="137">
        <v>6.5439999999999996</v>
      </c>
      <c r="C18" s="137">
        <v>33.630000000000003</v>
      </c>
      <c r="D18" s="137"/>
      <c r="E18" s="137">
        <v>295</v>
      </c>
      <c r="F18" s="137">
        <v>1.5</v>
      </c>
      <c r="G18" s="137">
        <v>96</v>
      </c>
      <c r="H18" s="3">
        <v>16</v>
      </c>
      <c r="I18" s="3">
        <v>101</v>
      </c>
    </row>
    <row r="19" spans="1:9" x14ac:dyDescent="0.35">
      <c r="A19" s="137">
        <v>3</v>
      </c>
      <c r="B19" s="137">
        <v>5.827</v>
      </c>
      <c r="C19" s="137">
        <v>26.67</v>
      </c>
      <c r="D19" s="137"/>
      <c r="E19" s="137">
        <v>237</v>
      </c>
      <c r="F19" s="137">
        <v>1.63</v>
      </c>
      <c r="G19" s="137">
        <v>78</v>
      </c>
      <c r="H19" s="3">
        <v>16</v>
      </c>
      <c r="I19" s="3">
        <v>101</v>
      </c>
    </row>
    <row r="20" spans="1:9" x14ac:dyDescent="0.35">
      <c r="A20" s="137">
        <v>4</v>
      </c>
      <c r="B20" s="137">
        <v>5.1890000000000001</v>
      </c>
      <c r="C20" s="137">
        <v>21.15</v>
      </c>
      <c r="D20" s="137"/>
      <c r="E20" s="137">
        <v>188</v>
      </c>
      <c r="F20" s="137">
        <v>0.8</v>
      </c>
      <c r="G20" s="137">
        <v>60</v>
      </c>
      <c r="H20" s="3">
        <v>10</v>
      </c>
      <c r="I20" s="3">
        <v>74</v>
      </c>
    </row>
    <row r="21" spans="1:9" x14ac:dyDescent="0.35">
      <c r="A21" s="137">
        <v>5</v>
      </c>
      <c r="B21" s="137">
        <v>4.6210000000000004</v>
      </c>
      <c r="C21" s="137">
        <v>16.77</v>
      </c>
      <c r="D21" s="137"/>
      <c r="E21" s="137">
        <v>149</v>
      </c>
      <c r="F21" s="137">
        <v>1.01</v>
      </c>
      <c r="G21" s="137">
        <v>48</v>
      </c>
      <c r="H21" s="3">
        <v>6</v>
      </c>
      <c r="I21" s="3">
        <v>53</v>
      </c>
    </row>
    <row r="22" spans="1:9" x14ac:dyDescent="0.35">
      <c r="A22" s="137">
        <v>6</v>
      </c>
      <c r="B22" s="137">
        <v>4.1150000000000002</v>
      </c>
      <c r="C22" s="137">
        <v>13.3</v>
      </c>
      <c r="D22" s="137"/>
      <c r="E22" s="137">
        <v>118</v>
      </c>
      <c r="F22" s="137">
        <v>1.27</v>
      </c>
      <c r="G22" s="137">
        <v>38</v>
      </c>
      <c r="H22" s="3">
        <v>4</v>
      </c>
      <c r="I22" s="3">
        <v>40</v>
      </c>
    </row>
    <row r="23" spans="1:9" x14ac:dyDescent="0.35">
      <c r="A23" s="137">
        <v>7</v>
      </c>
      <c r="B23" s="137">
        <v>3.665</v>
      </c>
      <c r="C23" s="137">
        <v>10.55</v>
      </c>
      <c r="D23" s="137"/>
      <c r="E23" s="137">
        <v>94</v>
      </c>
      <c r="F23" s="137">
        <v>1.7</v>
      </c>
      <c r="G23" s="137">
        <v>30</v>
      </c>
      <c r="H23" s="3">
        <v>4</v>
      </c>
      <c r="I23" s="3">
        <v>40</v>
      </c>
    </row>
    <row r="24" spans="1:9" x14ac:dyDescent="0.35">
      <c r="A24" s="137">
        <v>8</v>
      </c>
      <c r="B24" s="137">
        <v>3.2639999999999998</v>
      </c>
      <c r="C24" s="137">
        <v>8.36</v>
      </c>
      <c r="D24" s="137"/>
      <c r="E24" s="137">
        <v>74</v>
      </c>
      <c r="F24" s="137">
        <v>2.0299999999999998</v>
      </c>
      <c r="G24" s="137">
        <v>24</v>
      </c>
      <c r="H24" s="3">
        <v>2.5</v>
      </c>
      <c r="I24" s="3">
        <v>29</v>
      </c>
    </row>
    <row r="25" spans="1:9" x14ac:dyDescent="0.35">
      <c r="A25" s="137">
        <v>9</v>
      </c>
      <c r="B25" s="137">
        <v>2.9060000000000001</v>
      </c>
      <c r="C25" s="137">
        <v>6.63</v>
      </c>
      <c r="D25" s="137"/>
      <c r="E25" s="137">
        <v>58.9</v>
      </c>
      <c r="F25" s="137">
        <v>2.56</v>
      </c>
      <c r="G25" s="137">
        <v>19</v>
      </c>
      <c r="H25" s="3">
        <v>1.5</v>
      </c>
      <c r="I25" s="3">
        <v>21</v>
      </c>
    </row>
    <row r="26" spans="1:9" x14ac:dyDescent="0.35">
      <c r="A26" s="137">
        <v>10</v>
      </c>
      <c r="B26" s="137">
        <v>2.5880000000000001</v>
      </c>
      <c r="C26" s="137">
        <v>5.26</v>
      </c>
      <c r="D26" s="137"/>
      <c r="E26" s="137">
        <v>46.8</v>
      </c>
      <c r="F26" s="137">
        <v>3.23</v>
      </c>
      <c r="G26" s="137">
        <v>15</v>
      </c>
      <c r="H26" s="3">
        <v>1</v>
      </c>
      <c r="I26" s="3">
        <v>16</v>
      </c>
    </row>
    <row r="27" spans="1:9" x14ac:dyDescent="0.35">
      <c r="A27" s="137">
        <v>11</v>
      </c>
      <c r="B27" s="137">
        <v>2.3050000000000002</v>
      </c>
      <c r="C27" s="137">
        <v>4.17</v>
      </c>
      <c r="D27" s="137"/>
      <c r="E27" s="137">
        <v>32.1</v>
      </c>
      <c r="F27" s="137">
        <v>4.07</v>
      </c>
      <c r="G27" s="137">
        <v>12</v>
      </c>
      <c r="H27" s="3">
        <v>0.75</v>
      </c>
      <c r="I27" s="3">
        <v>13</v>
      </c>
    </row>
    <row r="28" spans="1:9" x14ac:dyDescent="0.35">
      <c r="A28" s="137">
        <v>12</v>
      </c>
      <c r="B28" s="137">
        <v>2.0529999999999999</v>
      </c>
      <c r="C28" s="137">
        <v>3.31</v>
      </c>
      <c r="D28" s="137"/>
      <c r="E28" s="137">
        <v>29.4</v>
      </c>
      <c r="F28" s="137">
        <v>5.13</v>
      </c>
      <c r="G28" s="137">
        <v>9.5</v>
      </c>
      <c r="H28" s="3">
        <v>0.5</v>
      </c>
      <c r="I28" s="3">
        <v>10</v>
      </c>
    </row>
    <row r="29" spans="1:9" x14ac:dyDescent="0.35">
      <c r="A29" s="137">
        <v>13</v>
      </c>
      <c r="B29" s="137">
        <v>1.8280000000000001</v>
      </c>
      <c r="C29" s="137">
        <v>2.63</v>
      </c>
      <c r="D29" s="137"/>
      <c r="E29" s="137">
        <v>23.3</v>
      </c>
      <c r="F29" s="137">
        <v>6.49</v>
      </c>
      <c r="G29" s="137">
        <v>7.5</v>
      </c>
      <c r="H29" s="138"/>
      <c r="I29" s="138"/>
    </row>
    <row r="30" spans="1:9" x14ac:dyDescent="0.35">
      <c r="A30" s="137">
        <v>14</v>
      </c>
      <c r="B30" s="137">
        <v>1.6279999999999999</v>
      </c>
      <c r="C30" s="137">
        <v>2.08</v>
      </c>
      <c r="D30" s="137">
        <v>5.6</v>
      </c>
      <c r="E30" s="137">
        <v>18.5</v>
      </c>
      <c r="F30" s="137">
        <v>8.17</v>
      </c>
      <c r="G30" s="137">
        <v>6</v>
      </c>
      <c r="H30" s="138"/>
      <c r="I30" s="138"/>
    </row>
    <row r="31" spans="1:9" x14ac:dyDescent="0.35">
      <c r="A31" s="137">
        <v>15</v>
      </c>
      <c r="B31" s="137">
        <v>1.45</v>
      </c>
      <c r="C31" s="137">
        <v>1.65</v>
      </c>
      <c r="D31" s="137">
        <v>6.4</v>
      </c>
      <c r="E31" s="137">
        <v>14.7</v>
      </c>
      <c r="F31" s="137">
        <v>10.3</v>
      </c>
      <c r="G31" s="137">
        <v>4.8</v>
      </c>
      <c r="H31" s="138"/>
      <c r="I31" s="138"/>
    </row>
    <row r="32" spans="1:9" x14ac:dyDescent="0.35">
      <c r="A32" s="137">
        <v>16</v>
      </c>
      <c r="B32" s="137">
        <v>1.2909999999999999</v>
      </c>
      <c r="C32" s="137">
        <v>1.31</v>
      </c>
      <c r="D32" s="137">
        <v>7.2</v>
      </c>
      <c r="E32" s="137">
        <v>11.6</v>
      </c>
      <c r="F32" s="137">
        <v>12.9</v>
      </c>
      <c r="G32" s="137">
        <v>3.7</v>
      </c>
      <c r="H32" s="138"/>
      <c r="I32" s="138"/>
    </row>
    <row r="33" spans="1:9" x14ac:dyDescent="0.35">
      <c r="A33" s="137">
        <v>17</v>
      </c>
      <c r="B33" s="137">
        <v>1.1499999999999999</v>
      </c>
      <c r="C33" s="137">
        <v>1.04</v>
      </c>
      <c r="D33" s="137">
        <v>8.4</v>
      </c>
      <c r="E33" s="137">
        <v>9.26</v>
      </c>
      <c r="F33" s="137">
        <v>16.34</v>
      </c>
      <c r="G33" s="137">
        <v>3.2</v>
      </c>
      <c r="H33" s="138"/>
      <c r="I33" s="138"/>
    </row>
    <row r="34" spans="1:9" x14ac:dyDescent="0.35">
      <c r="A34" s="137">
        <v>18</v>
      </c>
      <c r="B34" s="137">
        <v>1.024</v>
      </c>
      <c r="C34" s="137">
        <v>0.82</v>
      </c>
      <c r="D34" s="137">
        <v>9.1999999999999993</v>
      </c>
      <c r="E34" s="137">
        <v>7.3</v>
      </c>
      <c r="F34" s="137">
        <v>20.73</v>
      </c>
      <c r="G34" s="137">
        <v>2.5</v>
      </c>
      <c r="H34" s="138"/>
      <c r="I34" s="138"/>
    </row>
    <row r="35" spans="1:9" x14ac:dyDescent="0.35">
      <c r="A35" s="137">
        <v>19</v>
      </c>
      <c r="B35" s="137">
        <v>0.91159999999999997</v>
      </c>
      <c r="C35" s="137">
        <v>0.65</v>
      </c>
      <c r="D35" s="137">
        <v>10.199999999999999</v>
      </c>
      <c r="E35" s="137">
        <v>5.79</v>
      </c>
      <c r="F35" s="137">
        <v>26.15</v>
      </c>
      <c r="G35" s="137">
        <v>2</v>
      </c>
      <c r="H35" s="138"/>
      <c r="I35" s="138"/>
    </row>
    <row r="36" spans="1:9" x14ac:dyDescent="0.35">
      <c r="A36" s="137">
        <v>20</v>
      </c>
      <c r="B36" s="137">
        <v>0.81179999999999997</v>
      </c>
      <c r="C36" s="137">
        <v>0.52</v>
      </c>
      <c r="D36" s="137">
        <v>11.6</v>
      </c>
      <c r="E36" s="137">
        <v>4.6100000000000003</v>
      </c>
      <c r="F36" s="137">
        <v>32.69</v>
      </c>
      <c r="G36" s="137">
        <v>1.6</v>
      </c>
      <c r="H36" s="138"/>
      <c r="I36" s="138"/>
    </row>
    <row r="37" spans="1:9" x14ac:dyDescent="0.35">
      <c r="A37" s="137">
        <v>21</v>
      </c>
      <c r="B37" s="137">
        <v>0.72299999999999998</v>
      </c>
      <c r="C37" s="137">
        <v>0.41</v>
      </c>
      <c r="D37" s="137">
        <v>12.8</v>
      </c>
      <c r="E37" s="137">
        <v>3.64</v>
      </c>
      <c r="F37" s="137">
        <v>41.46</v>
      </c>
      <c r="G37" s="137">
        <v>1.2</v>
      </c>
      <c r="H37" s="138"/>
      <c r="I37" s="138"/>
    </row>
    <row r="38" spans="1:9" x14ac:dyDescent="0.35">
      <c r="A38" s="137">
        <v>22</v>
      </c>
      <c r="B38" s="137">
        <v>0.64380000000000004</v>
      </c>
      <c r="C38" s="137">
        <v>0.33</v>
      </c>
      <c r="D38" s="137">
        <v>14.4</v>
      </c>
      <c r="E38" s="137">
        <v>2.89</v>
      </c>
      <c r="F38" s="137">
        <v>51.5</v>
      </c>
      <c r="G38" s="137">
        <v>0.92</v>
      </c>
      <c r="H38" s="138"/>
      <c r="I38" s="138"/>
    </row>
    <row r="39" spans="1:9" x14ac:dyDescent="0.35">
      <c r="A39" s="137">
        <v>23</v>
      </c>
      <c r="B39" s="137">
        <v>0.57330000000000003</v>
      </c>
      <c r="C39" s="137">
        <v>0.26</v>
      </c>
      <c r="D39" s="137">
        <v>16</v>
      </c>
      <c r="E39" s="137">
        <v>2.29</v>
      </c>
      <c r="F39" s="137">
        <v>56.4</v>
      </c>
      <c r="G39" s="137">
        <v>0.73</v>
      </c>
      <c r="H39" s="138"/>
      <c r="I39" s="138"/>
    </row>
    <row r="40" spans="1:9" x14ac:dyDescent="0.35">
      <c r="A40" s="137">
        <v>24</v>
      </c>
      <c r="B40" s="137">
        <v>0.51060000000000005</v>
      </c>
      <c r="C40" s="137">
        <v>0.2</v>
      </c>
      <c r="D40" s="137">
        <v>18</v>
      </c>
      <c r="E40" s="137">
        <v>1.82</v>
      </c>
      <c r="F40" s="137">
        <v>85</v>
      </c>
      <c r="G40" s="137">
        <v>0.57999999999999996</v>
      </c>
      <c r="H40" s="138"/>
      <c r="I40" s="138"/>
    </row>
    <row r="41" spans="1:9" x14ac:dyDescent="0.35">
      <c r="A41" s="137">
        <v>25</v>
      </c>
      <c r="B41" s="137">
        <v>0.45469999999999999</v>
      </c>
      <c r="C41" s="137">
        <v>0.16</v>
      </c>
      <c r="D41" s="137">
        <v>20</v>
      </c>
      <c r="E41" s="137">
        <v>1.44</v>
      </c>
      <c r="F41" s="137">
        <v>106.2</v>
      </c>
      <c r="G41" s="137">
        <v>0.46</v>
      </c>
      <c r="H41" s="138"/>
      <c r="I41" s="138"/>
    </row>
    <row r="42" spans="1:9" x14ac:dyDescent="0.35">
      <c r="A42" s="137">
        <v>26</v>
      </c>
      <c r="B42" s="137">
        <v>0.40489999999999998</v>
      </c>
      <c r="C42" s="137">
        <v>0.13</v>
      </c>
      <c r="D42" s="137">
        <v>22.8</v>
      </c>
      <c r="E42" s="137">
        <v>1.1399999999999999</v>
      </c>
      <c r="F42" s="137">
        <v>130.69999999999999</v>
      </c>
      <c r="G42" s="137">
        <v>0.37</v>
      </c>
      <c r="H42" s="138"/>
      <c r="I42" s="138"/>
    </row>
    <row r="43" spans="1:9" x14ac:dyDescent="0.35">
      <c r="A43" s="137">
        <v>27</v>
      </c>
      <c r="B43" s="137">
        <v>0.36059999999999998</v>
      </c>
      <c r="C43" s="137">
        <v>0.1</v>
      </c>
      <c r="D43" s="137">
        <v>25.6</v>
      </c>
      <c r="E43" s="137">
        <v>0.91</v>
      </c>
      <c r="F43" s="137">
        <v>170</v>
      </c>
      <c r="G43" s="137">
        <v>0.28999999999999998</v>
      </c>
      <c r="H43" s="138"/>
      <c r="I43" s="138"/>
    </row>
    <row r="44" spans="1:9" x14ac:dyDescent="0.35">
      <c r="A44" s="137">
        <v>28</v>
      </c>
      <c r="B44" s="137">
        <v>0.3211</v>
      </c>
      <c r="C44" s="137">
        <v>0.08</v>
      </c>
      <c r="D44" s="137">
        <v>28.4</v>
      </c>
      <c r="E44" s="137">
        <v>0.72</v>
      </c>
      <c r="F44" s="137">
        <v>212.5</v>
      </c>
      <c r="G44" s="137">
        <v>0.23</v>
      </c>
      <c r="H44" s="138"/>
      <c r="I44" s="138"/>
    </row>
    <row r="45" spans="1:9" x14ac:dyDescent="0.35">
      <c r="A45" s="137">
        <v>29</v>
      </c>
      <c r="B45" s="137">
        <v>0.28589999999999999</v>
      </c>
      <c r="C45" s="137">
        <v>6.4000000000000001E-2</v>
      </c>
      <c r="D45" s="137">
        <v>32.4</v>
      </c>
      <c r="E45" s="137">
        <v>0.56999999999999995</v>
      </c>
      <c r="F45" s="137">
        <v>265.60000000000002</v>
      </c>
      <c r="G45" s="137">
        <v>0.18</v>
      </c>
      <c r="H45" s="138"/>
      <c r="I45" s="138"/>
    </row>
    <row r="46" spans="1:9" x14ac:dyDescent="0.35">
      <c r="A46" s="137">
        <v>30</v>
      </c>
      <c r="B46" s="137">
        <v>0.25459999999999999</v>
      </c>
      <c r="C46" s="137">
        <v>5.0999999999999997E-2</v>
      </c>
      <c r="D46" s="137">
        <v>35.6</v>
      </c>
      <c r="E46" s="137">
        <v>0.45</v>
      </c>
      <c r="F46" s="137">
        <v>333.3</v>
      </c>
      <c r="G46" s="137">
        <v>0.15</v>
      </c>
      <c r="H46" s="138"/>
      <c r="I46" s="138"/>
    </row>
    <row r="47" spans="1:9" x14ac:dyDescent="0.35">
      <c r="A47" s="137">
        <v>31</v>
      </c>
      <c r="B47" s="137">
        <v>0.2268</v>
      </c>
      <c r="C47" s="137">
        <v>0.04</v>
      </c>
      <c r="D47" s="137">
        <v>39.799999999999997</v>
      </c>
      <c r="E47" s="137">
        <v>0.36</v>
      </c>
      <c r="F47" s="137">
        <v>425</v>
      </c>
      <c r="G47" s="137">
        <v>0.11</v>
      </c>
      <c r="H47" s="138"/>
      <c r="I47" s="138"/>
    </row>
    <row r="48" spans="1:9" x14ac:dyDescent="0.35">
      <c r="A48" s="137">
        <v>32</v>
      </c>
      <c r="B48" s="137">
        <v>0.2019</v>
      </c>
      <c r="C48" s="137">
        <v>3.2000000000000001E-2</v>
      </c>
      <c r="D48" s="137">
        <v>44.5</v>
      </c>
      <c r="E48" s="137">
        <v>0.28000000000000003</v>
      </c>
      <c r="F48" s="137">
        <v>531.20000000000005</v>
      </c>
      <c r="G48" s="137">
        <v>0.09</v>
      </c>
      <c r="H48" s="138"/>
      <c r="I48" s="138"/>
    </row>
    <row r="49" spans="1:9" x14ac:dyDescent="0.35">
      <c r="A49" s="137">
        <v>33</v>
      </c>
      <c r="B49" s="137">
        <v>0.17979999999999999</v>
      </c>
      <c r="C49" s="137">
        <v>2.5399999999999999E-2</v>
      </c>
      <c r="D49" s="137">
        <v>56</v>
      </c>
      <c r="E49" s="137">
        <v>0.23</v>
      </c>
      <c r="F49" s="137">
        <v>669.3</v>
      </c>
      <c r="G49" s="137">
        <v>7.1999999999999995E-2</v>
      </c>
      <c r="H49" s="138"/>
      <c r="I49" s="138"/>
    </row>
    <row r="50" spans="1:9" x14ac:dyDescent="0.35">
      <c r="A50" s="137">
        <v>34</v>
      </c>
      <c r="B50" s="137">
        <v>0.16009999999999999</v>
      </c>
      <c r="C50" s="137">
        <v>2.01E-2</v>
      </c>
      <c r="D50" s="137">
        <v>56</v>
      </c>
      <c r="E50" s="137">
        <v>0.18</v>
      </c>
      <c r="F50" s="137">
        <v>845.8</v>
      </c>
      <c r="G50" s="137">
        <v>5.7000000000000002E-2</v>
      </c>
      <c r="H50" s="138"/>
      <c r="I50" s="138"/>
    </row>
    <row r="51" spans="1:9" x14ac:dyDescent="0.35">
      <c r="A51" s="137">
        <v>35</v>
      </c>
      <c r="B51" s="137">
        <v>0.1426</v>
      </c>
      <c r="C51" s="137">
        <v>1.5900000000000001E-2</v>
      </c>
      <c r="D51" s="137">
        <v>62.3</v>
      </c>
      <c r="E51" s="137">
        <v>0.14000000000000001</v>
      </c>
      <c r="F51" s="137">
        <v>1069</v>
      </c>
      <c r="G51" s="137">
        <v>4.4999999999999998E-2</v>
      </c>
      <c r="H51" s="138"/>
      <c r="I51" s="138"/>
    </row>
    <row r="52" spans="1:9" x14ac:dyDescent="0.35">
      <c r="A52" s="137">
        <v>36</v>
      </c>
      <c r="B52" s="137">
        <v>0.127</v>
      </c>
      <c r="C52" s="137">
        <v>1.2699999999999999E-2</v>
      </c>
      <c r="D52" s="137">
        <v>69</v>
      </c>
      <c r="E52" s="137">
        <v>0.1</v>
      </c>
      <c r="F52" s="137">
        <v>1338</v>
      </c>
      <c r="G52" s="137">
        <v>3.5999999999999997E-2</v>
      </c>
      <c r="H52" s="138"/>
      <c r="I52" s="138"/>
    </row>
    <row r="53" spans="1:9" x14ac:dyDescent="0.35">
      <c r="A53" s="137">
        <v>37</v>
      </c>
      <c r="B53" s="137">
        <v>0.11310000000000001</v>
      </c>
      <c r="C53" s="137">
        <v>100</v>
      </c>
      <c r="D53" s="137">
        <v>78</v>
      </c>
      <c r="E53" s="137">
        <v>8.8999999999999996E-2</v>
      </c>
      <c r="F53" s="137">
        <v>1700</v>
      </c>
      <c r="G53" s="137">
        <v>2.8000000000000001E-2</v>
      </c>
      <c r="H53" s="138"/>
      <c r="I53" s="138"/>
    </row>
    <row r="54" spans="1:9" x14ac:dyDescent="0.35">
      <c r="A54" s="137">
        <v>38</v>
      </c>
      <c r="B54" s="137">
        <v>0.1007</v>
      </c>
      <c r="C54" s="137">
        <v>7.9000000000000008E-3</v>
      </c>
      <c r="D54" s="137">
        <v>82.3</v>
      </c>
      <c r="E54" s="137">
        <v>7.0000000000000007E-2</v>
      </c>
      <c r="F54" s="137">
        <v>2152</v>
      </c>
      <c r="G54" s="137">
        <v>2.1999999999999999E-2</v>
      </c>
      <c r="H54" s="138"/>
      <c r="I54" s="138"/>
    </row>
    <row r="55" spans="1:9" x14ac:dyDescent="0.35">
      <c r="A55" s="137">
        <v>39</v>
      </c>
      <c r="B55" s="137">
        <v>8.9700000000000002E-2</v>
      </c>
      <c r="C55" s="137">
        <v>6.3E-3</v>
      </c>
      <c r="D55" s="137">
        <v>97.5</v>
      </c>
      <c r="E55" s="137">
        <v>5.6000000000000001E-2</v>
      </c>
      <c r="F55" s="137">
        <v>2696</v>
      </c>
      <c r="G55" s="137">
        <v>1.7000000000000001E-2</v>
      </c>
      <c r="H55" s="138"/>
      <c r="I55" s="138"/>
    </row>
    <row r="56" spans="1:9" x14ac:dyDescent="0.35">
      <c r="A56" s="137">
        <v>40</v>
      </c>
      <c r="B56" s="137">
        <v>7.9899999999999999E-2</v>
      </c>
      <c r="C56" s="137">
        <v>5.0000000000000001E-3</v>
      </c>
      <c r="D56" s="137">
        <v>111</v>
      </c>
      <c r="E56" s="137">
        <v>4.3999999999999997E-2</v>
      </c>
      <c r="F56" s="137">
        <v>3400</v>
      </c>
      <c r="G56" s="137">
        <v>1.4E-2</v>
      </c>
      <c r="H56" s="138"/>
      <c r="I56" s="138"/>
    </row>
    <row r="57" spans="1:9" x14ac:dyDescent="0.35">
      <c r="A57" s="137">
        <v>41</v>
      </c>
      <c r="B57" s="137">
        <v>711</v>
      </c>
      <c r="C57" s="137">
        <v>4.0000000000000001E-3</v>
      </c>
      <c r="D57" s="137">
        <v>126.8</v>
      </c>
      <c r="E57" s="137">
        <v>3.5000000000000003E-2</v>
      </c>
      <c r="F57" s="137">
        <v>4250</v>
      </c>
      <c r="G57" s="137">
        <v>1.0999999999999999E-2</v>
      </c>
      <c r="H57" s="138"/>
      <c r="I57" s="138"/>
    </row>
    <row r="58" spans="1:9" x14ac:dyDescent="0.35">
      <c r="A58" s="137">
        <v>42</v>
      </c>
      <c r="B58" s="137">
        <v>6.3299999999999995E-2</v>
      </c>
      <c r="C58" s="137">
        <v>3.2000000000000002E-3</v>
      </c>
      <c r="D58" s="137">
        <v>138.9</v>
      </c>
      <c r="E58" s="137">
        <v>2.8000000000000001E-2</v>
      </c>
      <c r="F58" s="137">
        <v>5312</v>
      </c>
      <c r="G58" s="137">
        <v>8.9999999999999993E-3</v>
      </c>
      <c r="H58" s="138"/>
      <c r="I58" s="138"/>
    </row>
    <row r="59" spans="1:9" x14ac:dyDescent="0.35">
      <c r="A59" s="137">
        <v>43</v>
      </c>
      <c r="B59" s="137">
        <v>5.6399999999999999E-2</v>
      </c>
      <c r="C59" s="137">
        <v>2.5000000000000001E-3</v>
      </c>
      <c r="D59" s="137">
        <v>156.4</v>
      </c>
      <c r="E59" s="137">
        <v>2.1999999999999999E-2</v>
      </c>
      <c r="F59" s="137">
        <v>6800</v>
      </c>
      <c r="G59" s="137">
        <v>7.0000000000000001E-3</v>
      </c>
      <c r="H59" s="138"/>
      <c r="I59" s="138"/>
    </row>
    <row r="60" spans="1:9" x14ac:dyDescent="0.35">
      <c r="A60" s="137">
        <v>44</v>
      </c>
      <c r="B60" s="137">
        <v>5.0299999999999997E-2</v>
      </c>
      <c r="C60" s="137">
        <v>2E-3</v>
      </c>
      <c r="D60" s="137">
        <v>169.7</v>
      </c>
      <c r="E60" s="137">
        <v>1.7999999999999999E-2</v>
      </c>
      <c r="F60" s="137">
        <v>8500</v>
      </c>
      <c r="G60" s="137">
        <v>5.0000000000000001E-3</v>
      </c>
      <c r="H60" s="138"/>
      <c r="I60" s="138"/>
    </row>
  </sheetData>
  <pageMargins left="0.51181102362204722" right="0.51181102362204722" top="0.78740157480314965" bottom="0.78740157480314965" header="0.31496062992125984" footer="0.31496062992125984"/>
  <pageSetup paperSize="9" scale="98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6F6C8-14EB-4CAE-8D6C-BE7EF50DB6B0}">
  <sheetPr codeName="Planilha6"/>
  <dimension ref="A1:J46"/>
  <sheetViews>
    <sheetView workbookViewId="0">
      <selection activeCell="N19" sqref="N19"/>
    </sheetView>
  </sheetViews>
  <sheetFormatPr defaultColWidth="9.1796875" defaultRowHeight="14.5" x14ac:dyDescent="0.35"/>
  <cols>
    <col min="1" max="1" width="7.453125" style="4" bestFit="1" customWidth="1"/>
    <col min="2" max="2" width="11.1796875" style="4" bestFit="1" customWidth="1"/>
    <col min="3" max="10" width="8.7265625" style="4" customWidth="1"/>
    <col min="11" max="16384" width="9.1796875" style="4"/>
  </cols>
  <sheetData>
    <row r="1" spans="1:10" x14ac:dyDescent="0.35">
      <c r="A1" s="261" t="s">
        <v>211</v>
      </c>
      <c r="B1" s="261"/>
      <c r="C1" s="261"/>
      <c r="D1" s="261"/>
      <c r="E1" s="261"/>
      <c r="F1" s="261"/>
      <c r="G1" s="261"/>
      <c r="H1" s="261"/>
      <c r="I1" s="261"/>
      <c r="J1" s="261"/>
    </row>
    <row r="2" spans="1:10" ht="29" x14ac:dyDescent="0.35">
      <c r="A2" s="3" t="s">
        <v>201</v>
      </c>
      <c r="B2" s="3" t="s">
        <v>202</v>
      </c>
      <c r="C2" s="133" t="s">
        <v>203</v>
      </c>
      <c r="D2" s="133" t="s">
        <v>204</v>
      </c>
      <c r="E2" s="133" t="s">
        <v>205</v>
      </c>
      <c r="F2" s="133" t="s">
        <v>206</v>
      </c>
      <c r="G2" s="133" t="s">
        <v>207</v>
      </c>
      <c r="H2" s="133" t="s">
        <v>208</v>
      </c>
      <c r="I2" s="133" t="s">
        <v>209</v>
      </c>
      <c r="J2" s="133" t="s">
        <v>210</v>
      </c>
    </row>
    <row r="3" spans="1:10" x14ac:dyDescent="0.35">
      <c r="A3" s="3" t="s">
        <v>114</v>
      </c>
      <c r="B3" s="3" t="s">
        <v>115</v>
      </c>
      <c r="C3" s="3">
        <v>85</v>
      </c>
      <c r="D3" s="3">
        <v>95</v>
      </c>
      <c r="E3" s="3">
        <v>135</v>
      </c>
      <c r="F3" s="3">
        <v>150</v>
      </c>
      <c r="G3" s="3">
        <v>170</v>
      </c>
      <c r="H3" s="3">
        <v>190</v>
      </c>
      <c r="I3" s="3">
        <v>231</v>
      </c>
      <c r="J3" s="3">
        <v>258</v>
      </c>
    </row>
    <row r="4" spans="1:10" x14ac:dyDescent="0.35">
      <c r="A4" s="3" t="s">
        <v>116</v>
      </c>
      <c r="B4" s="3" t="s">
        <v>117</v>
      </c>
      <c r="C4" s="3">
        <v>90</v>
      </c>
      <c r="D4" s="3">
        <v>105</v>
      </c>
      <c r="E4" s="3">
        <v>142</v>
      </c>
      <c r="F4" s="3">
        <v>164</v>
      </c>
      <c r="G4" s="3">
        <v>180</v>
      </c>
      <c r="H4" s="3">
        <v>210</v>
      </c>
      <c r="I4" s="3">
        <v>245</v>
      </c>
      <c r="J4" s="3">
        <v>285</v>
      </c>
    </row>
    <row r="5" spans="1:10" x14ac:dyDescent="0.35">
      <c r="A5" s="3" t="s">
        <v>118</v>
      </c>
      <c r="B5" s="3" t="s">
        <v>119</v>
      </c>
      <c r="C5" s="3">
        <v>110</v>
      </c>
      <c r="D5" s="3">
        <v>125</v>
      </c>
      <c r="E5" s="3">
        <v>174</v>
      </c>
      <c r="F5" s="3">
        <v>196</v>
      </c>
      <c r="G5" s="3">
        <v>220</v>
      </c>
      <c r="H5" s="3">
        <v>250</v>
      </c>
      <c r="I5" s="3">
        <v>300</v>
      </c>
      <c r="J5" s="3">
        <v>340</v>
      </c>
    </row>
    <row r="6" spans="1:10" x14ac:dyDescent="0.35">
      <c r="A6" s="3" t="s">
        <v>120</v>
      </c>
      <c r="B6" s="3" t="s">
        <v>121</v>
      </c>
      <c r="C6" s="3">
        <v>140</v>
      </c>
      <c r="D6" s="3">
        <v>155</v>
      </c>
      <c r="E6" s="3">
        <v>220</v>
      </c>
      <c r="F6" s="3">
        <v>245</v>
      </c>
      <c r="G6" s="3">
        <v>280</v>
      </c>
      <c r="H6" s="3">
        <v>310</v>
      </c>
      <c r="I6" s="3">
        <v>380</v>
      </c>
      <c r="J6" s="3">
        <v>420</v>
      </c>
    </row>
    <row r="7" spans="1:10" x14ac:dyDescent="0.35">
      <c r="A7" s="3" t="s">
        <v>122</v>
      </c>
      <c r="B7" s="3" t="s">
        <v>123</v>
      </c>
      <c r="C7" s="3">
        <v>165</v>
      </c>
      <c r="D7" s="3">
        <v>180</v>
      </c>
      <c r="E7" s="3">
        <v>260</v>
      </c>
      <c r="F7" s="3">
        <v>284</v>
      </c>
      <c r="G7" s="3">
        <v>330</v>
      </c>
      <c r="H7" s="3">
        <v>350</v>
      </c>
      <c r="I7" s="3">
        <v>450</v>
      </c>
      <c r="J7" s="3">
        <v>490</v>
      </c>
    </row>
    <row r="8" spans="1:10" x14ac:dyDescent="0.35">
      <c r="A8" s="3" t="s">
        <v>124</v>
      </c>
      <c r="B8" s="3" t="s">
        <v>125</v>
      </c>
      <c r="C8" s="3">
        <v>110</v>
      </c>
      <c r="D8" s="3">
        <v>125</v>
      </c>
      <c r="E8" s="3">
        <v>174</v>
      </c>
      <c r="F8" s="3">
        <v>196</v>
      </c>
      <c r="G8" s="3">
        <v>220</v>
      </c>
      <c r="H8" s="3">
        <v>250</v>
      </c>
      <c r="I8" s="3">
        <v>300</v>
      </c>
      <c r="J8" s="3">
        <v>340</v>
      </c>
    </row>
    <row r="9" spans="1:10" x14ac:dyDescent="0.35">
      <c r="A9" s="3" t="s">
        <v>126</v>
      </c>
      <c r="B9" s="3" t="s">
        <v>127</v>
      </c>
      <c r="C9" s="3">
        <v>140</v>
      </c>
      <c r="D9" s="3">
        <v>155</v>
      </c>
      <c r="E9" s="3">
        <v>220</v>
      </c>
      <c r="F9" s="3">
        <v>245</v>
      </c>
      <c r="G9" s="3">
        <v>280</v>
      </c>
      <c r="H9" s="3">
        <v>310</v>
      </c>
      <c r="I9" s="3">
        <v>380</v>
      </c>
      <c r="J9" s="3">
        <v>420</v>
      </c>
    </row>
    <row r="10" spans="1:10" x14ac:dyDescent="0.35">
      <c r="A10" s="3" t="s">
        <v>128</v>
      </c>
      <c r="B10" s="3" t="s">
        <v>129</v>
      </c>
      <c r="C10" s="3">
        <v>165</v>
      </c>
      <c r="D10" s="3">
        <v>180</v>
      </c>
      <c r="E10" s="3">
        <v>260</v>
      </c>
      <c r="F10" s="3">
        <v>284</v>
      </c>
      <c r="G10" s="3">
        <v>330</v>
      </c>
      <c r="H10" s="3">
        <v>360</v>
      </c>
      <c r="I10" s="3">
        <v>450</v>
      </c>
      <c r="J10" s="3">
        <v>490</v>
      </c>
    </row>
    <row r="11" spans="1:10" x14ac:dyDescent="0.35">
      <c r="A11" s="3" t="s">
        <v>130</v>
      </c>
      <c r="B11" s="3" t="s">
        <v>131</v>
      </c>
      <c r="C11" s="3">
        <v>200</v>
      </c>
      <c r="D11" s="3">
        <v>220</v>
      </c>
      <c r="E11" s="3">
        <v>316</v>
      </c>
      <c r="F11" s="3">
        <v>348</v>
      </c>
      <c r="G11" s="3">
        <v>400</v>
      </c>
      <c r="H11" s="3">
        <v>440</v>
      </c>
      <c r="I11" s="3">
        <v>544</v>
      </c>
      <c r="J11" s="3">
        <v>596</v>
      </c>
    </row>
    <row r="12" spans="1:10" x14ac:dyDescent="0.35">
      <c r="A12" s="3" t="s">
        <v>132</v>
      </c>
      <c r="B12" s="3" t="s">
        <v>133</v>
      </c>
      <c r="C12" s="3">
        <v>230</v>
      </c>
      <c r="D12" s="3">
        <v>256</v>
      </c>
      <c r="E12" s="3">
        <v>363</v>
      </c>
      <c r="F12" s="3">
        <v>403</v>
      </c>
      <c r="G12" s="3">
        <v>480</v>
      </c>
      <c r="H12" s="3">
        <v>510</v>
      </c>
      <c r="I12" s="3">
        <v>625</v>
      </c>
      <c r="J12" s="3">
        <v>693</v>
      </c>
    </row>
    <row r="13" spans="1:10" x14ac:dyDescent="0.35">
      <c r="A13" s="3" t="s">
        <v>134</v>
      </c>
      <c r="B13" s="3" t="s">
        <v>135</v>
      </c>
      <c r="C13" s="3">
        <v>260</v>
      </c>
      <c r="D13" s="3">
        <v>285</v>
      </c>
      <c r="E13" s="3">
        <v>410</v>
      </c>
      <c r="F13" s="3">
        <v>450</v>
      </c>
      <c r="G13" s="3">
        <v>520</v>
      </c>
      <c r="H13" s="3">
        <v>570</v>
      </c>
      <c r="I13" s="3">
        <v>707</v>
      </c>
      <c r="J13" s="3">
        <v>775</v>
      </c>
    </row>
    <row r="14" spans="1:10" x14ac:dyDescent="0.35">
      <c r="A14" s="3" t="s">
        <v>136</v>
      </c>
      <c r="B14" s="3" t="s">
        <v>137</v>
      </c>
      <c r="C14" s="3">
        <v>310</v>
      </c>
      <c r="D14" s="3">
        <v>350</v>
      </c>
      <c r="E14" s="3">
        <v>490</v>
      </c>
      <c r="F14" s="3">
        <v>553</v>
      </c>
      <c r="G14" s="3">
        <v>620</v>
      </c>
      <c r="H14" s="3">
        <v>700</v>
      </c>
      <c r="I14" s="3">
        <v>843</v>
      </c>
      <c r="J14" s="3">
        <v>952</v>
      </c>
    </row>
    <row r="15" spans="1:10" x14ac:dyDescent="0.35">
      <c r="A15" s="3" t="s">
        <v>138</v>
      </c>
      <c r="B15" s="3" t="s">
        <v>139</v>
      </c>
      <c r="C15" s="3">
        <v>365</v>
      </c>
      <c r="D15" s="3">
        <v>410</v>
      </c>
      <c r="E15" s="3">
        <v>576</v>
      </c>
      <c r="F15" s="3">
        <v>648</v>
      </c>
      <c r="G15" s="3">
        <v>730</v>
      </c>
      <c r="H15" s="3">
        <v>820</v>
      </c>
      <c r="I15" s="3">
        <v>993</v>
      </c>
      <c r="J15" s="3">
        <v>1115</v>
      </c>
    </row>
    <row r="16" spans="1:10" x14ac:dyDescent="0.35">
      <c r="A16" s="3" t="s">
        <v>140</v>
      </c>
      <c r="B16" s="3" t="s">
        <v>141</v>
      </c>
      <c r="C16" s="3">
        <v>420</v>
      </c>
      <c r="D16" s="3">
        <v>480</v>
      </c>
      <c r="E16" s="3">
        <v>684</v>
      </c>
      <c r="F16" s="3">
        <v>727</v>
      </c>
      <c r="G16" s="3">
        <v>840</v>
      </c>
      <c r="H16" s="3">
        <v>920</v>
      </c>
      <c r="I16" s="3">
        <v>1142</v>
      </c>
      <c r="J16" s="3">
        <v>1251</v>
      </c>
    </row>
    <row r="17" spans="1:10" x14ac:dyDescent="0.35">
      <c r="A17" s="3" t="s">
        <v>136</v>
      </c>
      <c r="B17" s="3" t="s">
        <v>142</v>
      </c>
      <c r="C17" s="3">
        <v>465</v>
      </c>
      <c r="D17" s="3">
        <v>530</v>
      </c>
      <c r="E17" s="3">
        <v>734</v>
      </c>
      <c r="F17" s="3">
        <v>837</v>
      </c>
      <c r="G17" s="3">
        <v>930</v>
      </c>
      <c r="H17" s="3">
        <v>1080</v>
      </c>
      <c r="I17" s="3">
        <v>1265</v>
      </c>
      <c r="J17" s="3">
        <v>1440</v>
      </c>
    </row>
    <row r="18" spans="1:10" x14ac:dyDescent="0.35">
      <c r="A18" s="3" t="s">
        <v>143</v>
      </c>
      <c r="B18" s="3" t="s">
        <v>144</v>
      </c>
      <c r="C18" s="3">
        <v>165</v>
      </c>
      <c r="D18" s="3">
        <v>180</v>
      </c>
      <c r="E18" s="3">
        <v>260</v>
      </c>
      <c r="F18" s="3">
        <v>284</v>
      </c>
      <c r="G18" s="3">
        <v>330</v>
      </c>
      <c r="H18" s="3">
        <v>360</v>
      </c>
      <c r="I18" s="3">
        <v>450</v>
      </c>
      <c r="J18" s="3">
        <v>490</v>
      </c>
    </row>
    <row r="19" spans="1:10" x14ac:dyDescent="0.35">
      <c r="A19" s="3" t="s">
        <v>145</v>
      </c>
      <c r="B19" s="3" t="s">
        <v>146</v>
      </c>
      <c r="C19" s="3">
        <v>230</v>
      </c>
      <c r="D19" s="3">
        <v>255</v>
      </c>
      <c r="E19" s="3">
        <v>363</v>
      </c>
      <c r="F19" s="3">
        <v>403</v>
      </c>
      <c r="G19" s="3">
        <v>460</v>
      </c>
      <c r="H19" s="3">
        <v>510</v>
      </c>
      <c r="I19" s="3">
        <v>625</v>
      </c>
      <c r="J19" s="3">
        <v>693</v>
      </c>
    </row>
    <row r="20" spans="1:10" x14ac:dyDescent="0.35">
      <c r="A20" s="3" t="s">
        <v>147</v>
      </c>
      <c r="B20" s="3" t="s">
        <v>148</v>
      </c>
      <c r="C20" s="3">
        <v>295</v>
      </c>
      <c r="D20" s="3">
        <v>325</v>
      </c>
      <c r="E20" s="3">
        <v>466</v>
      </c>
      <c r="F20" s="3">
        <v>513</v>
      </c>
      <c r="G20" s="3">
        <v>590</v>
      </c>
      <c r="H20" s="3">
        <v>650</v>
      </c>
      <c r="I20" s="3">
        <v>802</v>
      </c>
      <c r="J20" s="3">
        <v>884</v>
      </c>
    </row>
    <row r="21" spans="1:10" x14ac:dyDescent="0.35">
      <c r="A21" s="3" t="s">
        <v>149</v>
      </c>
      <c r="B21" s="3" t="s">
        <v>150</v>
      </c>
      <c r="C21" s="3">
        <v>350</v>
      </c>
      <c r="D21" s="3">
        <v>395</v>
      </c>
      <c r="E21" s="3">
        <v>553</v>
      </c>
      <c r="F21" s="3">
        <v>624</v>
      </c>
      <c r="G21" s="3">
        <v>700</v>
      </c>
      <c r="H21" s="3">
        <v>790</v>
      </c>
      <c r="I21" s="3">
        <v>952</v>
      </c>
      <c r="J21" s="3">
        <v>1074</v>
      </c>
    </row>
    <row r="22" spans="1:10" x14ac:dyDescent="0.35">
      <c r="A22" s="3" t="s">
        <v>151</v>
      </c>
      <c r="B22" s="3" t="s">
        <v>152</v>
      </c>
      <c r="C22" s="3">
        <v>405</v>
      </c>
      <c r="D22" s="3">
        <v>455</v>
      </c>
      <c r="E22" s="3">
        <v>640</v>
      </c>
      <c r="F22" s="3">
        <v>720</v>
      </c>
      <c r="G22" s="3">
        <v>810</v>
      </c>
      <c r="H22" s="3">
        <v>910</v>
      </c>
      <c r="I22" s="3">
        <v>1100</v>
      </c>
      <c r="J22" s="3">
        <v>1237</v>
      </c>
    </row>
    <row r="23" spans="1:10" x14ac:dyDescent="0.35">
      <c r="A23" s="3" t="s">
        <v>153</v>
      </c>
      <c r="B23" s="3" t="s">
        <v>154</v>
      </c>
      <c r="C23" s="3">
        <v>520</v>
      </c>
      <c r="D23" s="3">
        <v>600</v>
      </c>
      <c r="E23" s="3">
        <v>820</v>
      </c>
      <c r="F23" s="3">
        <v>948</v>
      </c>
      <c r="G23" s="3">
        <v>1040</v>
      </c>
      <c r="H23" s="3">
        <v>1200</v>
      </c>
      <c r="I23" s="3">
        <v>1414</v>
      </c>
      <c r="J23" s="3">
        <v>1632</v>
      </c>
    </row>
    <row r="24" spans="1:10" x14ac:dyDescent="0.35">
      <c r="A24" s="3" t="s">
        <v>155</v>
      </c>
      <c r="B24" s="3" t="s">
        <v>156</v>
      </c>
      <c r="C24" s="3">
        <v>250</v>
      </c>
      <c r="D24" s="3">
        <v>275</v>
      </c>
      <c r="E24" s="3">
        <v>395</v>
      </c>
      <c r="F24" s="3">
        <v>435</v>
      </c>
      <c r="G24" s="3">
        <v>500</v>
      </c>
      <c r="H24" s="3">
        <v>550</v>
      </c>
      <c r="I24" s="3">
        <v>680</v>
      </c>
      <c r="J24" s="3">
        <v>748</v>
      </c>
    </row>
    <row r="25" spans="1:10" x14ac:dyDescent="0.35">
      <c r="A25" s="3" t="s">
        <v>157</v>
      </c>
      <c r="B25" s="3" t="s">
        <v>158</v>
      </c>
      <c r="C25" s="3">
        <v>290</v>
      </c>
      <c r="D25" s="3">
        <v>320</v>
      </c>
      <c r="E25" s="3">
        <v>458</v>
      </c>
      <c r="F25" s="3">
        <v>505</v>
      </c>
      <c r="G25" s="3">
        <v>580</v>
      </c>
      <c r="H25" s="3">
        <v>640</v>
      </c>
      <c r="I25" s="3">
        <v>790</v>
      </c>
      <c r="J25" s="3">
        <v>870</v>
      </c>
    </row>
    <row r="26" spans="1:10" x14ac:dyDescent="0.35">
      <c r="A26" s="3" t="s">
        <v>159</v>
      </c>
      <c r="B26" s="3" t="s">
        <v>160</v>
      </c>
      <c r="C26" s="3">
        <v>320</v>
      </c>
      <c r="D26" s="3">
        <v>360</v>
      </c>
      <c r="E26" s="3">
        <v>506</v>
      </c>
      <c r="F26" s="3">
        <v>549</v>
      </c>
      <c r="G26" s="3">
        <v>640</v>
      </c>
      <c r="H26" s="3">
        <v>720</v>
      </c>
      <c r="I26" s="3">
        <v>870</v>
      </c>
      <c r="J26" s="3">
        <v>979</v>
      </c>
    </row>
    <row r="27" spans="1:10" x14ac:dyDescent="0.35">
      <c r="A27" s="3" t="s">
        <v>161</v>
      </c>
      <c r="B27" s="3" t="s">
        <v>162</v>
      </c>
      <c r="C27" s="3">
        <v>385</v>
      </c>
      <c r="D27" s="3">
        <v>435</v>
      </c>
      <c r="E27" s="3">
        <v>608</v>
      </c>
      <c r="F27" s="3">
        <v>687</v>
      </c>
      <c r="G27" s="3">
        <v>770</v>
      </c>
      <c r="H27" s="3">
        <v>870</v>
      </c>
      <c r="I27" s="3">
        <v>1047</v>
      </c>
      <c r="J27" s="3">
        <v>1183</v>
      </c>
    </row>
    <row r="28" spans="1:10" x14ac:dyDescent="0.35">
      <c r="A28" s="3" t="s">
        <v>163</v>
      </c>
      <c r="B28" s="3" t="s">
        <v>164</v>
      </c>
      <c r="C28" s="3">
        <v>450</v>
      </c>
      <c r="D28" s="3">
        <v>500</v>
      </c>
      <c r="E28" s="3">
        <v>710</v>
      </c>
      <c r="F28" s="3">
        <v>790</v>
      </c>
      <c r="G28" s="3">
        <v>900</v>
      </c>
      <c r="H28" s="3">
        <v>1000</v>
      </c>
      <c r="I28" s="3">
        <v>1224</v>
      </c>
      <c r="J28" s="3">
        <v>1360</v>
      </c>
    </row>
    <row r="29" spans="1:10" x14ac:dyDescent="0.35">
      <c r="A29" s="3" t="s">
        <v>165</v>
      </c>
      <c r="B29" s="3" t="s">
        <v>166</v>
      </c>
      <c r="C29" s="3">
        <v>575</v>
      </c>
      <c r="D29" s="3">
        <v>655</v>
      </c>
      <c r="E29" s="3">
        <v>908</v>
      </c>
      <c r="F29" s="3">
        <v>1055</v>
      </c>
      <c r="G29" s="3">
        <v>1150</v>
      </c>
      <c r="H29" s="3">
        <v>1510</v>
      </c>
      <c r="I29" s="3">
        <v>1564</v>
      </c>
      <c r="J29" s="3">
        <v>1780</v>
      </c>
    </row>
    <row r="30" spans="1:10" x14ac:dyDescent="0.35">
      <c r="A30" s="3" t="s">
        <v>199</v>
      </c>
      <c r="B30" s="3" t="s">
        <v>200</v>
      </c>
      <c r="C30" s="3">
        <v>695</v>
      </c>
      <c r="D30" s="3">
        <v>785</v>
      </c>
      <c r="E30" s="3">
        <v>1098</v>
      </c>
      <c r="F30" s="3">
        <v>1240</v>
      </c>
      <c r="G30" s="3">
        <v>1390</v>
      </c>
      <c r="H30" s="3">
        <v>1570</v>
      </c>
      <c r="I30" s="3">
        <v>1890</v>
      </c>
      <c r="J30" s="3">
        <v>2135</v>
      </c>
    </row>
    <row r="31" spans="1:10" x14ac:dyDescent="0.35">
      <c r="A31" s="3" t="s">
        <v>167</v>
      </c>
      <c r="B31" s="3" t="s">
        <v>168</v>
      </c>
      <c r="C31" s="3">
        <v>815</v>
      </c>
      <c r="D31" s="3">
        <v>910</v>
      </c>
      <c r="E31" s="3">
        <v>1287</v>
      </c>
      <c r="F31" s="3">
        <v>1438</v>
      </c>
      <c r="G31" s="3">
        <v>1630</v>
      </c>
      <c r="H31" s="3">
        <v>1820</v>
      </c>
      <c r="I31" s="3">
        <v>2217</v>
      </c>
      <c r="J31" s="3">
        <v>2475</v>
      </c>
    </row>
    <row r="32" spans="1:10" x14ac:dyDescent="0.35">
      <c r="A32" s="3" t="s">
        <v>169</v>
      </c>
      <c r="B32" s="3" t="s">
        <v>170</v>
      </c>
      <c r="C32" s="3">
        <v>1050</v>
      </c>
      <c r="D32" s="3">
        <v>1185</v>
      </c>
      <c r="E32" s="3">
        <v>1660</v>
      </c>
      <c r="F32" s="3">
        <v>1872</v>
      </c>
      <c r="G32" s="3">
        <v>2100</v>
      </c>
      <c r="H32" s="3">
        <v>2370</v>
      </c>
      <c r="I32" s="3">
        <v>2856</v>
      </c>
      <c r="J32" s="3">
        <v>3223</v>
      </c>
    </row>
    <row r="33" spans="1:10" x14ac:dyDescent="0.35">
      <c r="A33" s="3" t="s">
        <v>171</v>
      </c>
      <c r="B33" s="3" t="s">
        <v>172</v>
      </c>
      <c r="C33" s="3">
        <v>375</v>
      </c>
      <c r="D33" s="3">
        <v>420</v>
      </c>
      <c r="E33" s="3">
        <v>592</v>
      </c>
      <c r="F33" s="3">
        <v>663</v>
      </c>
      <c r="G33" s="3">
        <v>750</v>
      </c>
      <c r="H33" s="3">
        <v>840</v>
      </c>
      <c r="I33" s="3">
        <v>1020</v>
      </c>
      <c r="J33" s="3">
        <v>1100</v>
      </c>
    </row>
    <row r="34" spans="1:10" x14ac:dyDescent="0.35">
      <c r="A34" s="3" t="s">
        <v>173</v>
      </c>
      <c r="B34" s="3" t="s">
        <v>174</v>
      </c>
      <c r="C34" s="3">
        <v>455</v>
      </c>
      <c r="D34" s="3">
        <v>505</v>
      </c>
      <c r="E34" s="3">
        <v>720</v>
      </c>
      <c r="F34" s="3">
        <v>798</v>
      </c>
      <c r="G34" s="3">
        <v>910</v>
      </c>
      <c r="H34" s="3">
        <v>1010</v>
      </c>
      <c r="I34" s="3">
        <v>1237</v>
      </c>
      <c r="J34" s="3">
        <v>1373</v>
      </c>
    </row>
    <row r="35" spans="1:10" x14ac:dyDescent="0.35">
      <c r="A35" s="3" t="s">
        <v>175</v>
      </c>
      <c r="B35" s="3" t="s">
        <v>176</v>
      </c>
      <c r="C35" s="3">
        <v>530</v>
      </c>
      <c r="D35" s="3">
        <v>610</v>
      </c>
      <c r="E35" s="3">
        <v>837</v>
      </c>
      <c r="F35" s="3">
        <v>964</v>
      </c>
      <c r="G35" s="3">
        <v>1080</v>
      </c>
      <c r="H35" s="3">
        <v>1220</v>
      </c>
      <c r="I35" s="3">
        <v>1440</v>
      </c>
      <c r="J35" s="3">
        <v>1460</v>
      </c>
    </row>
    <row r="36" spans="1:10" x14ac:dyDescent="0.35">
      <c r="A36" s="3" t="s">
        <v>177</v>
      </c>
      <c r="B36" s="3" t="s">
        <v>178</v>
      </c>
      <c r="C36" s="3">
        <v>670</v>
      </c>
      <c r="D36" s="3">
        <v>750</v>
      </c>
      <c r="E36" s="3">
        <v>1058</v>
      </c>
      <c r="F36" s="3">
        <v>1185</v>
      </c>
      <c r="G36" s="3">
        <v>1340</v>
      </c>
      <c r="H36" s="3">
        <v>1500</v>
      </c>
      <c r="I36" s="3">
        <v>1822</v>
      </c>
      <c r="J36" s="3">
        <v>2040</v>
      </c>
    </row>
    <row r="37" spans="1:10" x14ac:dyDescent="0.35">
      <c r="A37" s="3" t="s">
        <v>179</v>
      </c>
      <c r="B37" s="3" t="s">
        <v>180</v>
      </c>
      <c r="C37" s="3">
        <v>810</v>
      </c>
      <c r="D37" s="3">
        <v>906</v>
      </c>
      <c r="E37" s="3">
        <v>1280</v>
      </c>
      <c r="F37" s="3">
        <v>1430</v>
      </c>
      <c r="G37" s="3">
        <v>1620</v>
      </c>
      <c r="H37" s="3">
        <v>1810</v>
      </c>
      <c r="I37" s="3">
        <v>2203</v>
      </c>
      <c r="J37" s="3">
        <v>2460</v>
      </c>
    </row>
    <row r="38" spans="1:10" x14ac:dyDescent="0.35">
      <c r="A38" s="3" t="s">
        <v>181</v>
      </c>
      <c r="B38" s="3" t="s">
        <v>182</v>
      </c>
      <c r="C38" s="3">
        <v>950</v>
      </c>
      <c r="D38" s="3">
        <v>1045</v>
      </c>
      <c r="E38" s="3">
        <v>1900</v>
      </c>
      <c r="F38" s="3">
        <v>1950</v>
      </c>
      <c r="G38" s="3">
        <v>1900</v>
      </c>
      <c r="H38" s="3">
        <v>2090</v>
      </c>
      <c r="I38" s="3">
        <v>2584</v>
      </c>
      <c r="J38" s="3">
        <v>2842</v>
      </c>
    </row>
    <row r="39" spans="1:10" x14ac:dyDescent="0.35">
      <c r="A39" s="3" t="s">
        <v>183</v>
      </c>
      <c r="B39" s="3" t="s">
        <v>184</v>
      </c>
      <c r="C39" s="3">
        <v>1230</v>
      </c>
      <c r="D39" s="3">
        <v>1380</v>
      </c>
      <c r="E39" s="3">
        <v>1943</v>
      </c>
      <c r="F39" s="3">
        <v>2130</v>
      </c>
      <c r="G39" s="3">
        <v>2460</v>
      </c>
      <c r="H39" s="3">
        <v>2760</v>
      </c>
      <c r="I39" s="3">
        <v>3346</v>
      </c>
      <c r="J39" s="3">
        <v>3753</v>
      </c>
    </row>
    <row r="40" spans="1:10" x14ac:dyDescent="0.35">
      <c r="A40" s="3" t="s">
        <v>185</v>
      </c>
      <c r="B40" s="3" t="s">
        <v>186</v>
      </c>
      <c r="C40" s="3">
        <v>1480</v>
      </c>
      <c r="D40" s="3">
        <v>1685</v>
      </c>
      <c r="E40" s="3">
        <v>2338</v>
      </c>
      <c r="F40" s="3">
        <v>2662</v>
      </c>
      <c r="G40" s="3">
        <v>2950</v>
      </c>
      <c r="H40" s="3">
        <v>3370</v>
      </c>
      <c r="I40" s="3">
        <v>4023</v>
      </c>
      <c r="J40" s="3">
        <v>4563</v>
      </c>
    </row>
    <row r="41" spans="1:10" x14ac:dyDescent="0.35">
      <c r="A41" s="3" t="s">
        <v>187</v>
      </c>
      <c r="B41" s="3" t="s">
        <v>188</v>
      </c>
      <c r="C41" s="3">
        <v>1735</v>
      </c>
      <c r="D41" s="3">
        <v>1920</v>
      </c>
      <c r="E41" s="3">
        <v>2740</v>
      </c>
      <c r="F41" s="3">
        <v>3033</v>
      </c>
      <c r="G41" s="3">
        <v>3470</v>
      </c>
      <c r="H41" s="3">
        <v>3840</v>
      </c>
      <c r="I41" s="3">
        <v>4720</v>
      </c>
      <c r="J41" s="3">
        <v>5222</v>
      </c>
    </row>
    <row r="42" spans="1:10" x14ac:dyDescent="0.35">
      <c r="A42" s="3" t="s">
        <v>189</v>
      </c>
      <c r="B42" s="3" t="s">
        <v>190</v>
      </c>
      <c r="C42" s="3">
        <v>2230</v>
      </c>
      <c r="D42" s="3">
        <v>2435</v>
      </c>
      <c r="E42" s="3">
        <v>3523</v>
      </c>
      <c r="F42" s="3">
        <v>3847</v>
      </c>
      <c r="G42" s="3">
        <v>4460</v>
      </c>
      <c r="H42" s="3">
        <v>4870</v>
      </c>
      <c r="I42" s="3">
        <v>6065</v>
      </c>
      <c r="J42" s="3">
        <v>6623</v>
      </c>
    </row>
    <row r="43" spans="1:10" x14ac:dyDescent="0.35">
      <c r="A43" s="3" t="s">
        <v>191</v>
      </c>
      <c r="B43" s="3" t="s">
        <v>192</v>
      </c>
      <c r="C43" s="3">
        <v>595</v>
      </c>
      <c r="D43" s="3">
        <v>675</v>
      </c>
      <c r="E43" s="3">
        <v>940</v>
      </c>
      <c r="F43" s="3">
        <v>1085</v>
      </c>
      <c r="G43" s="3">
        <v>1190</v>
      </c>
      <c r="H43" s="3">
        <v>1350</v>
      </c>
      <c r="I43" s="3">
        <v>1618</v>
      </c>
      <c r="J43" s="3">
        <v>1834</v>
      </c>
    </row>
    <row r="44" spans="1:10" x14ac:dyDescent="0.35">
      <c r="A44" s="3" t="s">
        <v>193</v>
      </c>
      <c r="B44" s="3" t="s">
        <v>194</v>
      </c>
      <c r="C44" s="3">
        <v>755</v>
      </c>
      <c r="D44" s="3">
        <v>865</v>
      </c>
      <c r="E44" s="3">
        <v>1193</v>
      </c>
      <c r="F44" s="3">
        <v>1366</v>
      </c>
      <c r="G44" s="3">
        <v>1510</v>
      </c>
      <c r="H44" s="3">
        <v>1730</v>
      </c>
      <c r="I44" s="3">
        <v>2053</v>
      </c>
      <c r="J44" s="3">
        <v>2353</v>
      </c>
    </row>
    <row r="45" spans="1:10" x14ac:dyDescent="0.35">
      <c r="A45" s="3" t="s">
        <v>195</v>
      </c>
      <c r="B45" s="3" t="s">
        <v>196</v>
      </c>
      <c r="C45" s="3">
        <v>915</v>
      </c>
      <c r="D45" s="3">
        <v>1025</v>
      </c>
      <c r="E45" s="3">
        <v>1448</v>
      </c>
      <c r="F45" s="3">
        <v>1620</v>
      </c>
      <c r="G45" s="3">
        <v>1830</v>
      </c>
      <c r="H45" s="3">
        <v>2050</v>
      </c>
      <c r="I45" s="3">
        <v>2490</v>
      </c>
      <c r="J45" s="3">
        <v>2796</v>
      </c>
    </row>
    <row r="46" spans="1:10" x14ac:dyDescent="0.35">
      <c r="A46" s="3" t="s">
        <v>197</v>
      </c>
      <c r="B46" s="3" t="s">
        <v>198</v>
      </c>
      <c r="C46" s="3">
        <v>1070</v>
      </c>
      <c r="D46" s="3">
        <v>1210</v>
      </c>
      <c r="E46" s="3">
        <v>1690</v>
      </c>
      <c r="F46" s="3">
        <v>1912</v>
      </c>
      <c r="G46" s="3">
        <v>2140</v>
      </c>
      <c r="H46" s="3">
        <v>2420</v>
      </c>
      <c r="I46" s="3">
        <v>2910</v>
      </c>
      <c r="J46" s="3">
        <v>3290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7"/>
  <dimension ref="A1:J49"/>
  <sheetViews>
    <sheetView topLeftCell="A4" zoomScaleNormal="100" zoomScaleSheetLayoutView="100" workbookViewId="0">
      <selection activeCell="F27" sqref="F27:G29"/>
    </sheetView>
  </sheetViews>
  <sheetFormatPr defaultRowHeight="14.5" x14ac:dyDescent="0.35"/>
  <cols>
    <col min="1" max="1" width="41.453125" bestFit="1" customWidth="1"/>
    <col min="2" max="2" width="13.81640625" bestFit="1" customWidth="1"/>
    <col min="3" max="5" width="8" bestFit="1" customWidth="1"/>
    <col min="6" max="6" width="9.26953125" bestFit="1" customWidth="1"/>
    <col min="7" max="7" width="5.81640625" bestFit="1" customWidth="1"/>
    <col min="8" max="8" width="14.54296875" bestFit="1" customWidth="1"/>
    <col min="9" max="9" width="6.81640625" bestFit="1" customWidth="1"/>
    <col min="10" max="10" width="11.26953125" bestFit="1" customWidth="1"/>
  </cols>
  <sheetData>
    <row r="1" spans="1:10" ht="15" thickBot="1" x14ac:dyDescent="0.4">
      <c r="A1" s="19" t="s">
        <v>20</v>
      </c>
      <c r="B1" s="20" t="s">
        <v>21</v>
      </c>
      <c r="C1" s="20" t="s">
        <v>213</v>
      </c>
      <c r="D1" s="20" t="s">
        <v>214</v>
      </c>
      <c r="E1" s="20" t="s">
        <v>215</v>
      </c>
      <c r="F1" s="20" t="s">
        <v>22</v>
      </c>
      <c r="G1" s="20" t="s">
        <v>23</v>
      </c>
      <c r="H1" s="20" t="s">
        <v>24</v>
      </c>
      <c r="I1" s="139" t="s">
        <v>6</v>
      </c>
      <c r="J1" s="21" t="s">
        <v>3</v>
      </c>
    </row>
    <row r="2" spans="1:10" ht="15" thickBot="1" x14ac:dyDescent="0.4">
      <c r="A2" s="266" t="s">
        <v>25</v>
      </c>
      <c r="B2" s="267"/>
      <c r="C2" s="267"/>
      <c r="D2" s="267"/>
      <c r="E2" s="267"/>
      <c r="F2" s="267"/>
      <c r="G2" s="267"/>
      <c r="H2" s="267"/>
      <c r="I2" s="268"/>
      <c r="J2" s="269"/>
    </row>
    <row r="3" spans="1:10" x14ac:dyDescent="0.35">
      <c r="A3" s="140" t="s">
        <v>216</v>
      </c>
      <c r="B3" s="9">
        <f>MEDIAN(C3:E3)</f>
        <v>80</v>
      </c>
      <c r="C3" s="9">
        <v>80</v>
      </c>
      <c r="D3" s="9"/>
      <c r="E3" s="9"/>
      <c r="F3" s="9">
        <v>0.52</v>
      </c>
      <c r="G3" s="9">
        <v>1</v>
      </c>
      <c r="H3" s="18">
        <f t="shared" ref="H3:H9" si="0">(B3/F3)/G3</f>
        <v>153.84615384615384</v>
      </c>
      <c r="I3" s="141">
        <v>1</v>
      </c>
      <c r="J3" s="10">
        <v>127</v>
      </c>
    </row>
    <row r="4" spans="1:10" x14ac:dyDescent="0.35">
      <c r="A4" s="142" t="s">
        <v>216</v>
      </c>
      <c r="B4" s="9">
        <f t="shared" ref="B4:B9" si="1">MEDIAN(C4:E4)</f>
        <v>80</v>
      </c>
      <c r="C4" s="9">
        <v>80</v>
      </c>
      <c r="D4" s="9"/>
      <c r="E4" s="9"/>
      <c r="F4" s="9">
        <v>0.52</v>
      </c>
      <c r="G4" s="9">
        <v>1</v>
      </c>
      <c r="H4" s="18">
        <f t="shared" si="0"/>
        <v>153.84615384615384</v>
      </c>
      <c r="I4" s="141">
        <v>2</v>
      </c>
      <c r="J4" s="10">
        <v>220</v>
      </c>
    </row>
    <row r="5" spans="1:10" x14ac:dyDescent="0.35">
      <c r="A5" s="143" t="s">
        <v>217</v>
      </c>
      <c r="B5" s="9">
        <f t="shared" si="1"/>
        <v>36</v>
      </c>
      <c r="C5" s="9">
        <v>36</v>
      </c>
      <c r="D5" s="9"/>
      <c r="E5" s="9"/>
      <c r="F5" s="9">
        <v>0.94</v>
      </c>
      <c r="G5" s="9">
        <v>1</v>
      </c>
      <c r="H5" s="18">
        <f t="shared" si="0"/>
        <v>38.297872340425535</v>
      </c>
      <c r="I5" s="141">
        <v>1</v>
      </c>
      <c r="J5" s="10">
        <v>127</v>
      </c>
    </row>
    <row r="6" spans="1:10" x14ac:dyDescent="0.35">
      <c r="A6" s="143" t="s">
        <v>217</v>
      </c>
      <c r="B6" s="9">
        <f t="shared" si="1"/>
        <v>36</v>
      </c>
      <c r="C6" s="9">
        <v>36</v>
      </c>
      <c r="D6" s="9"/>
      <c r="E6" s="9"/>
      <c r="F6" s="9">
        <v>0.94</v>
      </c>
      <c r="G6" s="9">
        <v>1</v>
      </c>
      <c r="H6" s="18">
        <f t="shared" si="0"/>
        <v>38.297872340425535</v>
      </c>
      <c r="I6" s="141">
        <v>2</v>
      </c>
      <c r="J6" s="10">
        <v>220</v>
      </c>
    </row>
    <row r="7" spans="1:10" x14ac:dyDescent="0.35">
      <c r="A7" s="143" t="s">
        <v>218</v>
      </c>
      <c r="B7" s="3">
        <f t="shared" si="1"/>
        <v>40</v>
      </c>
      <c r="C7" s="3">
        <v>40</v>
      </c>
      <c r="D7" s="3"/>
      <c r="E7" s="3"/>
      <c r="F7" s="3">
        <v>1</v>
      </c>
      <c r="G7" s="3">
        <v>1</v>
      </c>
      <c r="H7" s="13">
        <f t="shared" si="0"/>
        <v>40</v>
      </c>
      <c r="I7" s="144">
        <v>1</v>
      </c>
      <c r="J7" s="5">
        <v>127</v>
      </c>
    </row>
    <row r="8" spans="1:10" x14ac:dyDescent="0.35">
      <c r="A8" s="143" t="s">
        <v>219</v>
      </c>
      <c r="B8" s="3">
        <f t="shared" si="1"/>
        <v>60</v>
      </c>
      <c r="C8" s="3">
        <v>60</v>
      </c>
      <c r="D8" s="3"/>
      <c r="E8" s="3"/>
      <c r="F8" s="3">
        <v>1</v>
      </c>
      <c r="G8" s="3">
        <v>1</v>
      </c>
      <c r="H8" s="13">
        <f t="shared" si="0"/>
        <v>60</v>
      </c>
      <c r="I8" s="144">
        <v>1</v>
      </c>
      <c r="J8" s="5">
        <v>127</v>
      </c>
    </row>
    <row r="9" spans="1:10" ht="15" thickBot="1" x14ac:dyDescent="0.4">
      <c r="A9" s="145" t="s">
        <v>220</v>
      </c>
      <c r="B9" s="15">
        <f t="shared" si="1"/>
        <v>100</v>
      </c>
      <c r="C9" s="15">
        <v>100</v>
      </c>
      <c r="D9" s="15"/>
      <c r="E9" s="15"/>
      <c r="F9" s="15">
        <v>1</v>
      </c>
      <c r="G9" s="15">
        <v>1</v>
      </c>
      <c r="H9" s="16">
        <f t="shared" si="0"/>
        <v>100</v>
      </c>
      <c r="I9" s="146">
        <v>1</v>
      </c>
      <c r="J9" s="17">
        <v>127</v>
      </c>
    </row>
    <row r="10" spans="1:10" ht="15" thickBot="1" x14ac:dyDescent="0.4">
      <c r="A10" s="266" t="s">
        <v>26</v>
      </c>
      <c r="B10" s="267"/>
      <c r="C10" s="267"/>
      <c r="D10" s="267"/>
      <c r="E10" s="267"/>
      <c r="F10" s="267"/>
      <c r="G10" s="267"/>
      <c r="H10" s="267"/>
      <c r="I10" s="268"/>
      <c r="J10" s="269"/>
    </row>
    <row r="11" spans="1:10" x14ac:dyDescent="0.35">
      <c r="A11" s="147" t="s">
        <v>27</v>
      </c>
      <c r="B11" s="9">
        <f t="shared" ref="B11:B24" si="2">MEDIAN(C11:E11)</f>
        <v>100</v>
      </c>
      <c r="C11" s="9">
        <v>100</v>
      </c>
      <c r="D11" s="9"/>
      <c r="E11" s="9"/>
      <c r="F11" s="9">
        <v>0.92</v>
      </c>
      <c r="G11" s="9">
        <v>1</v>
      </c>
      <c r="H11" s="18">
        <f t="shared" ref="H11:H21" si="3">(B11/F11)/G11</f>
        <v>108.69565217391303</v>
      </c>
      <c r="I11" s="141">
        <v>1</v>
      </c>
      <c r="J11" s="10">
        <v>127</v>
      </c>
    </row>
    <row r="12" spans="1:10" x14ac:dyDescent="0.35">
      <c r="A12" s="148" t="s">
        <v>221</v>
      </c>
      <c r="B12" s="3">
        <f t="shared" si="2"/>
        <v>750</v>
      </c>
      <c r="C12" s="3">
        <v>750</v>
      </c>
      <c r="D12" s="3">
        <v>800</v>
      </c>
      <c r="E12" s="3">
        <v>550</v>
      </c>
      <c r="F12" s="3">
        <v>1</v>
      </c>
      <c r="G12" s="3">
        <v>1</v>
      </c>
      <c r="H12" s="13">
        <f t="shared" si="3"/>
        <v>750</v>
      </c>
      <c r="I12" s="144">
        <v>1</v>
      </c>
      <c r="J12" s="5">
        <v>127</v>
      </c>
    </row>
    <row r="13" spans="1:10" x14ac:dyDescent="0.35">
      <c r="A13" s="149" t="s">
        <v>28</v>
      </c>
      <c r="B13" s="3">
        <f t="shared" si="2"/>
        <v>5500</v>
      </c>
      <c r="C13" s="3">
        <v>5500</v>
      </c>
      <c r="D13" s="3">
        <v>4600</v>
      </c>
      <c r="E13" s="3">
        <v>6800</v>
      </c>
      <c r="F13" s="3">
        <v>1</v>
      </c>
      <c r="G13" s="3">
        <v>1</v>
      </c>
      <c r="H13" s="13">
        <f t="shared" si="3"/>
        <v>5500</v>
      </c>
      <c r="I13" s="144">
        <v>2</v>
      </c>
      <c r="J13" s="5">
        <v>220</v>
      </c>
    </row>
    <row r="14" spans="1:10" x14ac:dyDescent="0.35">
      <c r="A14" s="148" t="s">
        <v>29</v>
      </c>
      <c r="B14" s="3">
        <f t="shared" si="2"/>
        <v>1100</v>
      </c>
      <c r="C14" s="3">
        <v>1200</v>
      </c>
      <c r="D14" s="3">
        <v>1100</v>
      </c>
      <c r="E14" s="3">
        <v>620</v>
      </c>
      <c r="F14" s="3">
        <v>0.92</v>
      </c>
      <c r="G14" s="3">
        <v>1</v>
      </c>
      <c r="H14" s="13">
        <f t="shared" si="3"/>
        <v>1195.6521739130435</v>
      </c>
      <c r="I14" s="144">
        <v>1</v>
      </c>
      <c r="J14" s="5">
        <v>127</v>
      </c>
    </row>
    <row r="15" spans="1:10" x14ac:dyDescent="0.35">
      <c r="A15" s="148" t="s">
        <v>30</v>
      </c>
      <c r="B15" s="3">
        <f t="shared" si="2"/>
        <v>67</v>
      </c>
      <c r="C15" s="3">
        <v>250</v>
      </c>
      <c r="D15" s="3">
        <v>67</v>
      </c>
      <c r="E15" s="3">
        <v>55</v>
      </c>
      <c r="F15" s="3">
        <v>0.92</v>
      </c>
      <c r="G15" s="3">
        <v>1</v>
      </c>
      <c r="H15" s="13">
        <f t="shared" si="3"/>
        <v>72.826086956521735</v>
      </c>
      <c r="I15" s="144">
        <v>1</v>
      </c>
      <c r="J15" s="5">
        <v>127</v>
      </c>
    </row>
    <row r="16" spans="1:10" x14ac:dyDescent="0.35">
      <c r="A16" s="148" t="s">
        <v>31</v>
      </c>
      <c r="B16" s="3">
        <f t="shared" si="2"/>
        <v>64</v>
      </c>
      <c r="C16" s="3">
        <v>400</v>
      </c>
      <c r="D16" s="3">
        <v>64</v>
      </c>
      <c r="E16" s="3">
        <v>45</v>
      </c>
      <c r="F16" s="3">
        <v>0.92</v>
      </c>
      <c r="G16" s="3">
        <v>1</v>
      </c>
      <c r="H16" s="13">
        <f t="shared" si="3"/>
        <v>69.565217391304344</v>
      </c>
      <c r="I16" s="144">
        <v>1</v>
      </c>
      <c r="J16" s="5">
        <v>127</v>
      </c>
    </row>
    <row r="17" spans="1:10" x14ac:dyDescent="0.35">
      <c r="A17" s="148" t="s">
        <v>222</v>
      </c>
      <c r="B17" s="3">
        <f t="shared" si="2"/>
        <v>59</v>
      </c>
      <c r="C17" s="3">
        <v>70</v>
      </c>
      <c r="D17" s="3">
        <v>48</v>
      </c>
      <c r="E17" s="3"/>
      <c r="F17" s="3">
        <v>0.92</v>
      </c>
      <c r="G17" s="3">
        <v>1</v>
      </c>
      <c r="H17" s="13">
        <f t="shared" si="3"/>
        <v>64.130434782608688</v>
      </c>
      <c r="I17" s="144">
        <v>1</v>
      </c>
      <c r="J17" s="5">
        <v>127</v>
      </c>
    </row>
    <row r="18" spans="1:10" x14ac:dyDescent="0.35">
      <c r="A18" s="148" t="s">
        <v>223</v>
      </c>
      <c r="B18" s="3">
        <f t="shared" si="2"/>
        <v>176</v>
      </c>
      <c r="C18" s="3">
        <v>200</v>
      </c>
      <c r="D18" s="3">
        <v>152</v>
      </c>
      <c r="E18" s="3"/>
      <c r="F18" s="3">
        <v>0.92</v>
      </c>
      <c r="G18" s="3">
        <v>1</v>
      </c>
      <c r="H18" s="13">
        <f t="shared" si="3"/>
        <v>191.30434782608694</v>
      </c>
      <c r="I18" s="144">
        <v>1</v>
      </c>
      <c r="J18" s="5">
        <v>127</v>
      </c>
    </row>
    <row r="19" spans="1:10" x14ac:dyDescent="0.35">
      <c r="A19" s="148" t="s">
        <v>224</v>
      </c>
      <c r="B19" s="3">
        <f t="shared" si="2"/>
        <v>280</v>
      </c>
      <c r="C19" s="3">
        <v>250</v>
      </c>
      <c r="D19" s="3">
        <v>327</v>
      </c>
      <c r="E19" s="3">
        <v>280</v>
      </c>
      <c r="F19" s="3">
        <v>0.92</v>
      </c>
      <c r="G19" s="3">
        <v>1</v>
      </c>
      <c r="H19" s="13">
        <f t="shared" si="3"/>
        <v>304.3478260869565</v>
      </c>
      <c r="I19" s="144">
        <v>1</v>
      </c>
      <c r="J19" s="5">
        <v>127</v>
      </c>
    </row>
    <row r="20" spans="1:10" x14ac:dyDescent="0.35">
      <c r="A20" s="148" t="s">
        <v>225</v>
      </c>
      <c r="B20" s="3">
        <f t="shared" si="2"/>
        <v>150</v>
      </c>
      <c r="C20" s="3">
        <v>130</v>
      </c>
      <c r="D20" s="3">
        <v>150</v>
      </c>
      <c r="E20" s="3">
        <v>150</v>
      </c>
      <c r="F20" s="3">
        <v>0.92</v>
      </c>
      <c r="G20" s="3">
        <v>1</v>
      </c>
      <c r="H20" s="13">
        <f t="shared" si="3"/>
        <v>163.04347826086956</v>
      </c>
      <c r="I20" s="144">
        <v>1</v>
      </c>
      <c r="J20" s="5">
        <v>127</v>
      </c>
    </row>
    <row r="21" spans="1:10" x14ac:dyDescent="0.35">
      <c r="A21" s="148" t="s">
        <v>226</v>
      </c>
      <c r="B21" s="3">
        <f t="shared" si="2"/>
        <v>230</v>
      </c>
      <c r="C21" s="3">
        <v>200</v>
      </c>
      <c r="D21" s="3">
        <v>270</v>
      </c>
      <c r="E21" s="3">
        <v>230</v>
      </c>
      <c r="F21" s="3">
        <v>0.92</v>
      </c>
      <c r="G21" s="3">
        <v>1</v>
      </c>
      <c r="H21" s="13">
        <f t="shared" si="3"/>
        <v>250</v>
      </c>
      <c r="I21" s="144">
        <v>1</v>
      </c>
      <c r="J21" s="5">
        <v>127</v>
      </c>
    </row>
    <row r="22" spans="1:10" x14ac:dyDescent="0.35">
      <c r="A22" s="148" t="s">
        <v>32</v>
      </c>
      <c r="B22" s="3">
        <f t="shared" si="2"/>
        <v>260</v>
      </c>
      <c r="C22" s="3">
        <v>460</v>
      </c>
      <c r="D22" s="3">
        <v>180</v>
      </c>
      <c r="E22" s="3">
        <v>260</v>
      </c>
      <c r="F22" s="3">
        <v>0.92</v>
      </c>
      <c r="G22" s="3">
        <v>1</v>
      </c>
      <c r="H22" s="13">
        <f>(B22/F22)/G22</f>
        <v>282.60869565217388</v>
      </c>
      <c r="I22" s="144">
        <v>1</v>
      </c>
      <c r="J22" s="5">
        <v>127</v>
      </c>
    </row>
    <row r="23" spans="1:10" x14ac:dyDescent="0.35">
      <c r="A23" s="148" t="s">
        <v>33</v>
      </c>
      <c r="B23" s="3">
        <f t="shared" si="2"/>
        <v>900</v>
      </c>
      <c r="C23" s="3">
        <v>900</v>
      </c>
      <c r="D23" s="3">
        <v>510</v>
      </c>
      <c r="E23" s="3">
        <v>1130</v>
      </c>
      <c r="F23" s="3">
        <v>0.92</v>
      </c>
      <c r="G23" s="3">
        <v>1</v>
      </c>
      <c r="H23" s="13">
        <f>(B23/F23)/G23</f>
        <v>978.26086956521738</v>
      </c>
      <c r="I23" s="144">
        <v>1</v>
      </c>
      <c r="J23" s="5">
        <v>127</v>
      </c>
    </row>
    <row r="24" spans="1:10" ht="15" thickBot="1" x14ac:dyDescent="0.4">
      <c r="A24" s="149" t="s">
        <v>34</v>
      </c>
      <c r="B24" s="15">
        <f t="shared" si="2"/>
        <v>27</v>
      </c>
      <c r="C24" s="15">
        <v>27</v>
      </c>
      <c r="D24" s="15">
        <v>12</v>
      </c>
      <c r="E24" s="15">
        <v>81</v>
      </c>
      <c r="F24" s="3">
        <v>0.92</v>
      </c>
      <c r="G24" s="15">
        <v>1</v>
      </c>
      <c r="H24" s="16">
        <f>(B24/F24)/G24</f>
        <v>29.34782608695652</v>
      </c>
      <c r="I24" s="146">
        <v>1</v>
      </c>
      <c r="J24" s="17">
        <v>127</v>
      </c>
    </row>
    <row r="25" spans="1:10" ht="15" thickBot="1" x14ac:dyDescent="0.4">
      <c r="A25" s="262" t="s">
        <v>35</v>
      </c>
      <c r="B25" s="263"/>
      <c r="C25" s="263"/>
      <c r="D25" s="263"/>
      <c r="E25" s="263"/>
      <c r="F25" s="263"/>
      <c r="G25" s="263"/>
      <c r="H25" s="263"/>
      <c r="I25" s="264"/>
      <c r="J25" s="265"/>
    </row>
    <row r="26" spans="1:10" x14ac:dyDescent="0.35">
      <c r="A26" s="147" t="s">
        <v>36</v>
      </c>
      <c r="B26" s="9">
        <f t="shared" ref="B26:B31" si="4">MEDIAN(C26:E26)</f>
        <v>754</v>
      </c>
      <c r="C26" s="9">
        <v>1000</v>
      </c>
      <c r="D26" s="9">
        <v>750</v>
      </c>
      <c r="E26" s="9">
        <v>754</v>
      </c>
      <c r="F26" s="9">
        <v>0.92</v>
      </c>
      <c r="G26" s="9">
        <v>1</v>
      </c>
      <c r="H26" s="18">
        <f t="shared" ref="H26:H31" si="5">(B26/F26)/G26</f>
        <v>819.56521739130426</v>
      </c>
      <c r="I26" s="141">
        <v>2</v>
      </c>
      <c r="J26" s="10">
        <v>220</v>
      </c>
    </row>
    <row r="27" spans="1:10" x14ac:dyDescent="0.35">
      <c r="A27" s="148" t="s">
        <v>37</v>
      </c>
      <c r="B27" s="3">
        <f t="shared" si="4"/>
        <v>1200</v>
      </c>
      <c r="C27" s="3">
        <v>993</v>
      </c>
      <c r="D27" s="3">
        <v>1200</v>
      </c>
      <c r="E27" s="3">
        <v>1250</v>
      </c>
      <c r="F27" s="3">
        <v>0.92</v>
      </c>
      <c r="G27" s="3">
        <v>1</v>
      </c>
      <c r="H27" s="13">
        <f t="shared" si="5"/>
        <v>1304.3478260869565</v>
      </c>
      <c r="I27" s="144">
        <v>2</v>
      </c>
      <c r="J27" s="5">
        <v>220</v>
      </c>
    </row>
    <row r="28" spans="1:10" x14ac:dyDescent="0.35">
      <c r="A28" s="148" t="s">
        <v>38</v>
      </c>
      <c r="B28" s="3">
        <f t="shared" si="4"/>
        <v>1189</v>
      </c>
      <c r="C28" s="3">
        <v>1600</v>
      </c>
      <c r="D28" s="3">
        <v>1160</v>
      </c>
      <c r="E28" s="3">
        <v>1189</v>
      </c>
      <c r="F28" s="3">
        <v>0.92</v>
      </c>
      <c r="G28" s="3">
        <v>1</v>
      </c>
      <c r="H28" s="13">
        <f t="shared" si="5"/>
        <v>1292.391304347826</v>
      </c>
      <c r="I28" s="144">
        <v>2</v>
      </c>
      <c r="J28" s="5">
        <v>220</v>
      </c>
    </row>
    <row r="29" spans="1:10" x14ac:dyDescent="0.35">
      <c r="A29" s="148" t="s">
        <v>42</v>
      </c>
      <c r="B29" s="3">
        <f t="shared" si="4"/>
        <v>1840</v>
      </c>
      <c r="C29" s="3">
        <v>1757</v>
      </c>
      <c r="D29" s="3">
        <v>1840</v>
      </c>
      <c r="E29" s="3">
        <v>2450</v>
      </c>
      <c r="F29" s="3">
        <v>0.92</v>
      </c>
      <c r="G29" s="3">
        <v>1</v>
      </c>
      <c r="H29" s="13">
        <f t="shared" si="5"/>
        <v>2000</v>
      </c>
      <c r="I29" s="144">
        <v>2</v>
      </c>
      <c r="J29" s="5">
        <v>220</v>
      </c>
    </row>
    <row r="30" spans="1:10" x14ac:dyDescent="0.35">
      <c r="A30" s="148" t="s">
        <v>227</v>
      </c>
      <c r="B30" s="3">
        <f t="shared" si="4"/>
        <v>2134</v>
      </c>
      <c r="C30" s="3">
        <v>2134</v>
      </c>
      <c r="D30" s="3">
        <v>2103</v>
      </c>
      <c r="E30" s="3">
        <v>2184</v>
      </c>
      <c r="F30" s="3">
        <v>0.92</v>
      </c>
      <c r="G30" s="3">
        <v>1</v>
      </c>
      <c r="H30" s="13">
        <f t="shared" si="5"/>
        <v>2319.565217391304</v>
      </c>
      <c r="I30" s="144">
        <v>2</v>
      </c>
      <c r="J30" s="5">
        <v>220</v>
      </c>
    </row>
    <row r="31" spans="1:10" ht="15" thickBot="1" x14ac:dyDescent="0.4">
      <c r="A31" s="149" t="s">
        <v>39</v>
      </c>
      <c r="B31" s="15">
        <f t="shared" si="4"/>
        <v>3190</v>
      </c>
      <c r="C31" s="15">
        <v>3150</v>
      </c>
      <c r="D31" s="15">
        <v>3230</v>
      </c>
      <c r="E31" s="15"/>
      <c r="F31" s="15">
        <v>0.92</v>
      </c>
      <c r="G31" s="15">
        <v>1</v>
      </c>
      <c r="H31" s="16">
        <f t="shared" si="5"/>
        <v>3467.391304347826</v>
      </c>
      <c r="I31" s="146">
        <v>2</v>
      </c>
      <c r="J31" s="17">
        <v>220</v>
      </c>
    </row>
    <row r="32" spans="1:10" ht="15" thickBot="1" x14ac:dyDescent="0.4">
      <c r="A32" s="262" t="s">
        <v>57</v>
      </c>
      <c r="B32" s="263"/>
      <c r="C32" s="263"/>
      <c r="D32" s="263"/>
      <c r="E32" s="263"/>
      <c r="F32" s="263"/>
      <c r="G32" s="263"/>
      <c r="H32" s="263"/>
      <c r="I32" s="264"/>
      <c r="J32" s="265"/>
    </row>
    <row r="33" spans="1:10" x14ac:dyDescent="0.35">
      <c r="A33" s="148" t="s">
        <v>40</v>
      </c>
      <c r="B33" s="3">
        <f t="shared" ref="B33:B40" si="6">MEDIAN(C33:E33)</f>
        <v>913</v>
      </c>
      <c r="C33" s="3">
        <v>913</v>
      </c>
      <c r="D33" s="3">
        <v>1210</v>
      </c>
      <c r="E33" s="3">
        <v>815</v>
      </c>
      <c r="F33" s="3">
        <v>0.92</v>
      </c>
      <c r="G33" s="3">
        <v>1</v>
      </c>
      <c r="H33" s="13">
        <f t="shared" ref="H33:H40" si="7">(B33/F33)/G33</f>
        <v>992.39130434782601</v>
      </c>
      <c r="I33" s="144">
        <v>2</v>
      </c>
      <c r="J33" s="5">
        <v>220</v>
      </c>
    </row>
    <row r="34" spans="1:10" x14ac:dyDescent="0.35">
      <c r="A34" s="148" t="s">
        <v>41</v>
      </c>
      <c r="B34" s="3">
        <f t="shared" si="6"/>
        <v>1129</v>
      </c>
      <c r="C34" s="3">
        <v>1212</v>
      </c>
      <c r="D34" s="3">
        <v>1085</v>
      </c>
      <c r="E34" s="3">
        <v>1129</v>
      </c>
      <c r="F34" s="3">
        <v>0.92</v>
      </c>
      <c r="G34" s="3">
        <v>1</v>
      </c>
      <c r="H34" s="13">
        <f t="shared" si="7"/>
        <v>1227.1739130434783</v>
      </c>
      <c r="I34" s="144">
        <v>2</v>
      </c>
      <c r="J34" s="5">
        <v>220</v>
      </c>
    </row>
    <row r="35" spans="1:10" x14ac:dyDescent="0.35">
      <c r="A35" s="148" t="s">
        <v>42</v>
      </c>
      <c r="B35" s="3">
        <f t="shared" si="6"/>
        <v>1630</v>
      </c>
      <c r="C35" s="3">
        <v>1628</v>
      </c>
      <c r="D35" s="3">
        <v>1630</v>
      </c>
      <c r="E35" s="3">
        <v>1671</v>
      </c>
      <c r="F35" s="3">
        <v>0.92</v>
      </c>
      <c r="G35" s="3">
        <v>1</v>
      </c>
      <c r="H35" s="13">
        <f t="shared" si="7"/>
        <v>1771.7391304347825</v>
      </c>
      <c r="I35" s="144">
        <v>2</v>
      </c>
      <c r="J35" s="5">
        <v>220</v>
      </c>
    </row>
    <row r="36" spans="1:10" x14ac:dyDescent="0.35">
      <c r="A36" s="148" t="s">
        <v>43</v>
      </c>
      <c r="B36" s="3">
        <f t="shared" si="6"/>
        <v>2150</v>
      </c>
      <c r="C36" s="3">
        <v>2012</v>
      </c>
      <c r="D36" s="3">
        <v>2170</v>
      </c>
      <c r="E36" s="3">
        <v>2150</v>
      </c>
      <c r="F36" s="3">
        <v>0.92</v>
      </c>
      <c r="G36" s="3">
        <v>1</v>
      </c>
      <c r="H36" s="13">
        <f t="shared" si="7"/>
        <v>2336.9565217391305</v>
      </c>
      <c r="I36" s="144">
        <v>2</v>
      </c>
      <c r="J36" s="5">
        <v>220</v>
      </c>
    </row>
    <row r="37" spans="1:10" x14ac:dyDescent="0.35">
      <c r="A37" s="148" t="s">
        <v>39</v>
      </c>
      <c r="B37" s="3">
        <f t="shared" si="6"/>
        <v>2752</v>
      </c>
      <c r="C37" s="3">
        <v>2559</v>
      </c>
      <c r="D37" s="3">
        <v>2752</v>
      </c>
      <c r="E37" s="3">
        <v>2868</v>
      </c>
      <c r="F37" s="3">
        <v>0.92</v>
      </c>
      <c r="G37" s="3">
        <v>1</v>
      </c>
      <c r="H37" s="13">
        <f t="shared" si="7"/>
        <v>2991.304347826087</v>
      </c>
      <c r="I37" s="144">
        <v>2</v>
      </c>
      <c r="J37" s="5">
        <v>220</v>
      </c>
    </row>
    <row r="38" spans="1:10" x14ac:dyDescent="0.35">
      <c r="A38" s="148" t="s">
        <v>44</v>
      </c>
      <c r="B38" s="3">
        <f t="shared" si="6"/>
        <v>3576</v>
      </c>
      <c r="C38" s="3">
        <v>3576</v>
      </c>
      <c r="D38" s="3">
        <v>3084</v>
      </c>
      <c r="E38" s="3">
        <v>4722</v>
      </c>
      <c r="F38" s="3">
        <v>0.92</v>
      </c>
      <c r="G38" s="3">
        <v>1</v>
      </c>
      <c r="H38" s="13">
        <f t="shared" si="7"/>
        <v>3886.95652173913</v>
      </c>
      <c r="I38" s="144">
        <v>3</v>
      </c>
      <c r="J38" s="5">
        <v>220</v>
      </c>
    </row>
    <row r="39" spans="1:10" x14ac:dyDescent="0.35">
      <c r="A39" s="148" t="s">
        <v>228</v>
      </c>
      <c r="B39" s="3">
        <f t="shared" si="6"/>
        <v>4345</v>
      </c>
      <c r="C39" s="3">
        <v>3471</v>
      </c>
      <c r="D39" s="3">
        <v>4345</v>
      </c>
      <c r="E39" s="3">
        <v>5400</v>
      </c>
      <c r="F39" s="3">
        <v>0.92</v>
      </c>
      <c r="G39" s="3">
        <v>1</v>
      </c>
      <c r="H39" s="13">
        <f t="shared" si="7"/>
        <v>4722.826086956522</v>
      </c>
      <c r="I39" s="144">
        <v>3</v>
      </c>
      <c r="J39" s="5">
        <v>220</v>
      </c>
    </row>
    <row r="40" spans="1:10" ht="15" thickBot="1" x14ac:dyDescent="0.4">
      <c r="A40" s="150" t="s">
        <v>229</v>
      </c>
      <c r="B40" s="7">
        <f t="shared" si="6"/>
        <v>6688</v>
      </c>
      <c r="C40" s="7">
        <v>6688</v>
      </c>
      <c r="D40" s="7">
        <v>6739</v>
      </c>
      <c r="E40" s="7">
        <v>6234</v>
      </c>
      <c r="F40" s="7">
        <v>0.92</v>
      </c>
      <c r="G40" s="7">
        <v>1</v>
      </c>
      <c r="H40" s="14">
        <f t="shared" si="7"/>
        <v>7269.565217391304</v>
      </c>
      <c r="I40" s="151">
        <v>3</v>
      </c>
      <c r="J40" s="8">
        <v>220</v>
      </c>
    </row>
    <row r="41" spans="1:10" ht="15" thickBot="1" x14ac:dyDescent="0.4">
      <c r="A41" s="262" t="s">
        <v>230</v>
      </c>
      <c r="B41" s="263"/>
      <c r="C41" s="263"/>
      <c r="D41" s="263"/>
      <c r="E41" s="263"/>
      <c r="F41" s="263"/>
      <c r="G41" s="263"/>
      <c r="H41" s="263"/>
      <c r="I41" s="264"/>
      <c r="J41" s="265"/>
    </row>
    <row r="42" spans="1:10" x14ac:dyDescent="0.35">
      <c r="A42" s="148" t="s">
        <v>40</v>
      </c>
      <c r="B42" s="3">
        <f t="shared" ref="B42:B49" si="8">MEDIAN(C42:E42)</f>
        <v>815</v>
      </c>
      <c r="C42" s="3">
        <v>801</v>
      </c>
      <c r="D42" s="3">
        <v>815</v>
      </c>
      <c r="E42" s="3">
        <v>849</v>
      </c>
      <c r="F42" s="3">
        <v>0.92</v>
      </c>
      <c r="G42" s="3">
        <v>1</v>
      </c>
      <c r="H42" s="13">
        <f t="shared" ref="H42:H49" si="9">(B42/F42)/G42</f>
        <v>885.86956521739125</v>
      </c>
      <c r="I42" s="144">
        <v>2</v>
      </c>
      <c r="J42" s="5">
        <v>220</v>
      </c>
    </row>
    <row r="43" spans="1:10" x14ac:dyDescent="0.35">
      <c r="A43" s="148" t="s">
        <v>41</v>
      </c>
      <c r="B43" s="3">
        <f t="shared" si="8"/>
        <v>1130</v>
      </c>
      <c r="C43" s="3">
        <v>1130</v>
      </c>
      <c r="D43" s="3">
        <v>730</v>
      </c>
      <c r="E43" s="3">
        <v>1370</v>
      </c>
      <c r="F43" s="3">
        <v>0.92</v>
      </c>
      <c r="G43" s="3">
        <v>1</v>
      </c>
      <c r="H43" s="13">
        <f t="shared" si="9"/>
        <v>1228.2608695652173</v>
      </c>
      <c r="I43" s="144">
        <v>2</v>
      </c>
      <c r="J43" s="5">
        <v>220</v>
      </c>
    </row>
    <row r="44" spans="1:10" x14ac:dyDescent="0.35">
      <c r="A44" s="148" t="s">
        <v>42</v>
      </c>
      <c r="B44" s="3">
        <f t="shared" si="8"/>
        <v>1540</v>
      </c>
      <c r="C44" s="3">
        <v>1758</v>
      </c>
      <c r="D44" s="3">
        <v>1540</v>
      </c>
      <c r="E44" s="3">
        <v>1470</v>
      </c>
      <c r="F44" s="3">
        <v>0.92</v>
      </c>
      <c r="G44" s="3">
        <v>1</v>
      </c>
      <c r="H44" s="13">
        <f t="shared" si="9"/>
        <v>1673.9130434782608</v>
      </c>
      <c r="I44" s="144">
        <v>2</v>
      </c>
      <c r="J44" s="5">
        <v>220</v>
      </c>
    </row>
    <row r="45" spans="1:10" x14ac:dyDescent="0.35">
      <c r="A45" s="148" t="s">
        <v>43</v>
      </c>
      <c r="B45" s="3">
        <f t="shared" si="8"/>
        <v>2300</v>
      </c>
      <c r="C45" s="3">
        <v>2557</v>
      </c>
      <c r="D45" s="3">
        <v>2300</v>
      </c>
      <c r="E45" s="3">
        <v>2240</v>
      </c>
      <c r="F45" s="3">
        <v>0.92</v>
      </c>
      <c r="G45" s="3">
        <v>1</v>
      </c>
      <c r="H45" s="13">
        <f t="shared" si="9"/>
        <v>2500</v>
      </c>
      <c r="I45" s="144">
        <v>2</v>
      </c>
      <c r="J45" s="5">
        <v>220</v>
      </c>
    </row>
    <row r="46" spans="1:10" x14ac:dyDescent="0.35">
      <c r="A46" s="148" t="s">
        <v>39</v>
      </c>
      <c r="B46" s="3">
        <f t="shared" si="8"/>
        <v>2800</v>
      </c>
      <c r="C46" s="3">
        <v>2850</v>
      </c>
      <c r="D46" s="3">
        <v>2600</v>
      </c>
      <c r="E46" s="3">
        <v>2800</v>
      </c>
      <c r="F46" s="3">
        <v>0.92</v>
      </c>
      <c r="G46" s="3">
        <v>1</v>
      </c>
      <c r="H46" s="13">
        <f t="shared" si="9"/>
        <v>3043.478260869565</v>
      </c>
      <c r="I46" s="144">
        <v>2</v>
      </c>
      <c r="J46" s="5">
        <v>220</v>
      </c>
    </row>
    <row r="47" spans="1:10" x14ac:dyDescent="0.35">
      <c r="A47" s="148" t="s">
        <v>44</v>
      </c>
      <c r="B47" s="3">
        <f t="shared" si="8"/>
        <v>3553</v>
      </c>
      <c r="C47" s="3">
        <v>3360</v>
      </c>
      <c r="D47" s="3">
        <v>3600</v>
      </c>
      <c r="E47" s="3">
        <v>3553</v>
      </c>
      <c r="F47" s="3">
        <v>0.92</v>
      </c>
      <c r="G47" s="3">
        <v>1</v>
      </c>
      <c r="H47" s="13">
        <f t="shared" si="9"/>
        <v>3861.9565217391305</v>
      </c>
      <c r="I47" s="144">
        <v>3</v>
      </c>
      <c r="J47" s="5">
        <v>220</v>
      </c>
    </row>
    <row r="48" spans="1:10" x14ac:dyDescent="0.35">
      <c r="A48" s="148" t="s">
        <v>228</v>
      </c>
      <c r="B48" s="3">
        <f t="shared" si="8"/>
        <v>4108</v>
      </c>
      <c r="C48" s="3">
        <v>4108</v>
      </c>
      <c r="D48" s="3">
        <v>6050</v>
      </c>
      <c r="E48" s="3">
        <v>2935</v>
      </c>
      <c r="F48" s="3">
        <v>0.92</v>
      </c>
      <c r="G48" s="3">
        <v>1</v>
      </c>
      <c r="H48" s="13">
        <f t="shared" si="9"/>
        <v>4465.217391304348</v>
      </c>
      <c r="I48" s="144">
        <v>3</v>
      </c>
      <c r="J48" s="5">
        <v>220</v>
      </c>
    </row>
    <row r="49" spans="1:10" ht="15" thickBot="1" x14ac:dyDescent="0.4">
      <c r="A49" s="150" t="s">
        <v>229</v>
      </c>
      <c r="B49" s="7">
        <f t="shared" si="8"/>
        <v>5540</v>
      </c>
      <c r="C49" s="7">
        <v>5540</v>
      </c>
      <c r="D49" s="7">
        <v>6962</v>
      </c>
      <c r="E49" s="7">
        <v>3298</v>
      </c>
      <c r="F49" s="7">
        <v>0.92</v>
      </c>
      <c r="G49" s="7">
        <v>1</v>
      </c>
      <c r="H49" s="14">
        <f t="shared" si="9"/>
        <v>6021.7391304347821</v>
      </c>
      <c r="I49" s="151">
        <v>3</v>
      </c>
      <c r="J49" s="8">
        <v>220</v>
      </c>
    </row>
  </sheetData>
  <mergeCells count="5">
    <mergeCell ref="A32:J32"/>
    <mergeCell ref="A41:J41"/>
    <mergeCell ref="A2:J2"/>
    <mergeCell ref="A10:J10"/>
    <mergeCell ref="A25:J25"/>
  </mergeCells>
  <pageMargins left="0.511811024" right="0.511811024" top="0.78740157499999996" bottom="0.78740157499999996" header="0.31496062000000002" footer="0.31496062000000002"/>
  <pageSetup paperSize="9" scale="72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8"/>
  <dimension ref="A1:K24"/>
  <sheetViews>
    <sheetView workbookViewId="0">
      <selection activeCell="G7" sqref="G7"/>
    </sheetView>
  </sheetViews>
  <sheetFormatPr defaultRowHeight="14.5" x14ac:dyDescent="0.35"/>
  <cols>
    <col min="1" max="1" width="9.7265625" customWidth="1"/>
  </cols>
  <sheetData>
    <row r="1" spans="1:11" ht="15" thickBot="1" x14ac:dyDescent="0.4">
      <c r="A1" s="273" t="s">
        <v>16</v>
      </c>
      <c r="B1" s="270" t="s">
        <v>15</v>
      </c>
      <c r="C1" s="271"/>
      <c r="D1" s="271"/>
      <c r="E1" s="271"/>
      <c r="F1" s="271"/>
      <c r="G1" s="271"/>
      <c r="H1" s="271"/>
      <c r="I1" s="271"/>
      <c r="J1" s="271"/>
      <c r="K1" s="272"/>
    </row>
    <row r="2" spans="1:11" ht="15" thickBot="1" x14ac:dyDescent="0.4">
      <c r="A2" s="274"/>
      <c r="B2" s="36">
        <v>3</v>
      </c>
      <c r="C2" s="37">
        <v>4</v>
      </c>
      <c r="D2" s="37">
        <v>5</v>
      </c>
      <c r="E2" s="37">
        <v>6</v>
      </c>
      <c r="F2" s="37">
        <v>7</v>
      </c>
      <c r="G2" s="37">
        <v>8</v>
      </c>
      <c r="H2" s="37">
        <v>9</v>
      </c>
      <c r="I2" s="37">
        <v>10</v>
      </c>
      <c r="J2" s="37">
        <v>11</v>
      </c>
      <c r="K2" s="38">
        <v>12</v>
      </c>
    </row>
    <row r="3" spans="1:11" ht="15" thickBot="1" x14ac:dyDescent="0.4">
      <c r="A3" s="275"/>
      <c r="B3" s="276" t="s">
        <v>87</v>
      </c>
      <c r="C3" s="277"/>
      <c r="D3" s="277"/>
      <c r="E3" s="277"/>
      <c r="F3" s="277"/>
      <c r="G3" s="277"/>
      <c r="H3" s="277"/>
      <c r="I3" s="277"/>
      <c r="J3" s="277"/>
      <c r="K3" s="278"/>
    </row>
    <row r="4" spans="1:11" x14ac:dyDescent="0.35">
      <c r="A4" s="30">
        <v>1.5</v>
      </c>
      <c r="B4" s="11">
        <v>16</v>
      </c>
      <c r="C4" s="34">
        <v>16</v>
      </c>
      <c r="D4" s="34">
        <v>16</v>
      </c>
      <c r="E4" s="34">
        <v>16</v>
      </c>
      <c r="F4" s="34">
        <v>16</v>
      </c>
      <c r="G4" s="34">
        <v>16</v>
      </c>
      <c r="H4" s="34">
        <v>20</v>
      </c>
      <c r="I4" s="34">
        <v>20</v>
      </c>
      <c r="J4" s="34">
        <v>20</v>
      </c>
      <c r="K4" s="35">
        <v>20</v>
      </c>
    </row>
    <row r="5" spans="1:11" x14ac:dyDescent="0.35">
      <c r="A5" s="31">
        <v>2.5</v>
      </c>
      <c r="B5" s="22">
        <v>16</v>
      </c>
      <c r="C5" s="3">
        <v>16</v>
      </c>
      <c r="D5" s="3">
        <v>16</v>
      </c>
      <c r="E5" s="3">
        <v>20</v>
      </c>
      <c r="F5" s="3">
        <v>20</v>
      </c>
      <c r="G5" s="3">
        <v>20</v>
      </c>
      <c r="H5" s="3">
        <v>25</v>
      </c>
      <c r="I5" s="3">
        <v>25</v>
      </c>
      <c r="J5" s="3">
        <v>25</v>
      </c>
      <c r="K5" s="5">
        <v>25</v>
      </c>
    </row>
    <row r="6" spans="1:11" x14ac:dyDescent="0.35">
      <c r="A6" s="31">
        <v>4</v>
      </c>
      <c r="B6" s="22">
        <v>16</v>
      </c>
      <c r="C6" s="3">
        <v>20</v>
      </c>
      <c r="D6" s="3">
        <v>20</v>
      </c>
      <c r="E6" s="3">
        <v>20</v>
      </c>
      <c r="F6" s="3">
        <v>25</v>
      </c>
      <c r="G6" s="3">
        <v>25</v>
      </c>
      <c r="H6" s="3">
        <v>25</v>
      </c>
      <c r="I6" s="3">
        <v>25</v>
      </c>
      <c r="J6" s="3">
        <v>31</v>
      </c>
      <c r="K6" s="5">
        <v>31</v>
      </c>
    </row>
    <row r="7" spans="1:11" x14ac:dyDescent="0.35">
      <c r="A7" s="31">
        <v>6</v>
      </c>
      <c r="B7" s="22">
        <v>16</v>
      </c>
      <c r="C7" s="3">
        <v>20</v>
      </c>
      <c r="D7" s="3">
        <v>20</v>
      </c>
      <c r="E7" s="3">
        <v>25</v>
      </c>
      <c r="F7" s="3">
        <v>25</v>
      </c>
      <c r="G7" s="3">
        <v>25</v>
      </c>
      <c r="H7" s="3">
        <v>31</v>
      </c>
      <c r="I7" s="3">
        <v>31</v>
      </c>
      <c r="J7" s="3">
        <v>31</v>
      </c>
      <c r="K7" s="5">
        <v>31</v>
      </c>
    </row>
    <row r="8" spans="1:11" x14ac:dyDescent="0.35">
      <c r="A8" s="31">
        <v>10</v>
      </c>
      <c r="B8" s="22">
        <v>20</v>
      </c>
      <c r="C8" s="3">
        <v>25</v>
      </c>
      <c r="D8" s="3">
        <v>25</v>
      </c>
      <c r="E8" s="3">
        <v>31</v>
      </c>
      <c r="F8" s="3">
        <v>31</v>
      </c>
      <c r="G8" s="3">
        <v>31</v>
      </c>
      <c r="H8" s="3">
        <v>31</v>
      </c>
      <c r="I8" s="3">
        <v>31</v>
      </c>
      <c r="J8" s="3">
        <v>41</v>
      </c>
      <c r="K8" s="5">
        <v>41</v>
      </c>
    </row>
    <row r="9" spans="1:11" x14ac:dyDescent="0.35">
      <c r="A9" s="31">
        <v>16</v>
      </c>
      <c r="B9" s="22">
        <v>25</v>
      </c>
      <c r="C9" s="3">
        <v>25</v>
      </c>
      <c r="D9" s="3">
        <v>31</v>
      </c>
      <c r="E9" s="3">
        <v>31</v>
      </c>
      <c r="F9" s="3">
        <v>31</v>
      </c>
      <c r="G9" s="3">
        <v>41</v>
      </c>
      <c r="H9" s="3">
        <v>41</v>
      </c>
      <c r="I9" s="3">
        <v>41</v>
      </c>
      <c r="J9" s="3">
        <v>41</v>
      </c>
      <c r="K9" s="5">
        <v>41</v>
      </c>
    </row>
    <row r="10" spans="1:11" x14ac:dyDescent="0.35">
      <c r="A10" s="31">
        <v>25</v>
      </c>
      <c r="B10" s="22">
        <v>31</v>
      </c>
      <c r="C10" s="3">
        <v>31</v>
      </c>
      <c r="D10" s="3">
        <v>41</v>
      </c>
      <c r="E10" s="3">
        <v>41</v>
      </c>
      <c r="F10" s="3">
        <v>41</v>
      </c>
      <c r="G10" s="3">
        <v>47</v>
      </c>
      <c r="H10" s="3">
        <v>47</v>
      </c>
      <c r="I10" s="3">
        <v>47</v>
      </c>
      <c r="J10" s="3">
        <v>59</v>
      </c>
      <c r="K10" s="5">
        <v>59</v>
      </c>
    </row>
    <row r="11" spans="1:11" x14ac:dyDescent="0.35">
      <c r="A11" s="31">
        <v>35</v>
      </c>
      <c r="B11" s="22">
        <v>31</v>
      </c>
      <c r="C11" s="3">
        <v>41</v>
      </c>
      <c r="D11" s="3">
        <v>41</v>
      </c>
      <c r="E11" s="3">
        <v>41</v>
      </c>
      <c r="F11" s="3">
        <v>47</v>
      </c>
      <c r="G11" s="3">
        <v>47</v>
      </c>
      <c r="H11" s="3">
        <v>59</v>
      </c>
      <c r="I11" s="3">
        <v>59</v>
      </c>
      <c r="J11" s="3">
        <v>59</v>
      </c>
      <c r="K11" s="5">
        <v>59</v>
      </c>
    </row>
    <row r="12" spans="1:11" x14ac:dyDescent="0.35">
      <c r="A12" s="31">
        <v>50</v>
      </c>
      <c r="B12" s="22">
        <v>41</v>
      </c>
      <c r="C12" s="3">
        <v>41</v>
      </c>
      <c r="D12" s="3">
        <v>47</v>
      </c>
      <c r="E12" s="3">
        <v>59</v>
      </c>
      <c r="F12" s="3">
        <v>59</v>
      </c>
      <c r="G12" s="3">
        <v>59</v>
      </c>
      <c r="H12" s="3">
        <v>59</v>
      </c>
      <c r="I12" s="3">
        <v>75</v>
      </c>
      <c r="J12" s="3">
        <v>75</v>
      </c>
      <c r="K12" s="5">
        <v>75</v>
      </c>
    </row>
    <row r="13" spans="1:11" x14ac:dyDescent="0.35">
      <c r="A13" s="31">
        <v>70</v>
      </c>
      <c r="B13" s="22">
        <v>41</v>
      </c>
      <c r="C13" s="3">
        <v>47</v>
      </c>
      <c r="D13" s="3">
        <v>59</v>
      </c>
      <c r="E13" s="3">
        <v>59</v>
      </c>
      <c r="F13" s="3">
        <v>59</v>
      </c>
      <c r="G13" s="3">
        <v>75</v>
      </c>
      <c r="H13" s="3">
        <v>75</v>
      </c>
      <c r="I13" s="3">
        <v>75</v>
      </c>
      <c r="J13" s="3">
        <v>75</v>
      </c>
      <c r="K13" s="5">
        <v>75</v>
      </c>
    </row>
    <row r="14" spans="1:11" x14ac:dyDescent="0.35">
      <c r="A14" s="31">
        <v>95</v>
      </c>
      <c r="B14" s="22">
        <v>47</v>
      </c>
      <c r="C14" s="3">
        <v>59</v>
      </c>
      <c r="D14" s="3">
        <v>59</v>
      </c>
      <c r="E14" s="3">
        <v>75</v>
      </c>
      <c r="F14" s="3">
        <v>75</v>
      </c>
      <c r="G14" s="3">
        <v>75</v>
      </c>
      <c r="H14" s="3">
        <v>88</v>
      </c>
      <c r="I14" s="3">
        <v>88</v>
      </c>
      <c r="J14" s="3">
        <v>88</v>
      </c>
      <c r="K14" s="5">
        <v>88</v>
      </c>
    </row>
    <row r="15" spans="1:11" x14ac:dyDescent="0.35">
      <c r="A15" s="31">
        <v>120</v>
      </c>
      <c r="B15" s="22">
        <v>59</v>
      </c>
      <c r="C15" s="3">
        <v>75</v>
      </c>
      <c r="D15" s="3">
        <v>75</v>
      </c>
      <c r="E15" s="3">
        <v>75</v>
      </c>
      <c r="F15" s="3">
        <v>88</v>
      </c>
      <c r="G15" s="3">
        <v>88</v>
      </c>
      <c r="H15" s="3">
        <v>88</v>
      </c>
      <c r="I15" s="3">
        <v>100</v>
      </c>
      <c r="J15" s="3">
        <v>100</v>
      </c>
      <c r="K15" s="5">
        <v>113</v>
      </c>
    </row>
    <row r="16" spans="1:11" x14ac:dyDescent="0.35">
      <c r="A16" s="31">
        <v>150</v>
      </c>
      <c r="B16" s="22">
        <v>59</v>
      </c>
      <c r="C16" s="3">
        <v>75</v>
      </c>
      <c r="D16" s="3">
        <v>75</v>
      </c>
      <c r="E16" s="3">
        <v>88</v>
      </c>
      <c r="F16" s="3">
        <v>88</v>
      </c>
      <c r="G16" s="3">
        <v>100</v>
      </c>
      <c r="H16" s="3">
        <v>100</v>
      </c>
      <c r="I16" s="3">
        <v>113</v>
      </c>
      <c r="J16" s="3">
        <v>113</v>
      </c>
      <c r="K16" s="5">
        <v>113</v>
      </c>
    </row>
    <row r="17" spans="1:11" x14ac:dyDescent="0.35">
      <c r="A17" s="31">
        <v>185</v>
      </c>
      <c r="B17" s="22">
        <v>75</v>
      </c>
      <c r="C17" s="3">
        <v>75</v>
      </c>
      <c r="D17" s="3">
        <v>88</v>
      </c>
      <c r="E17" s="3">
        <v>100</v>
      </c>
      <c r="F17" s="3">
        <v>100</v>
      </c>
      <c r="G17" s="3">
        <v>113</v>
      </c>
      <c r="H17" s="3">
        <v>113</v>
      </c>
      <c r="I17" s="3">
        <v>113</v>
      </c>
      <c r="J17" s="3">
        <v>0</v>
      </c>
      <c r="K17" s="5">
        <v>0</v>
      </c>
    </row>
    <row r="18" spans="1:11" x14ac:dyDescent="0.35">
      <c r="A18" s="31">
        <v>240</v>
      </c>
      <c r="B18" s="22">
        <v>75</v>
      </c>
      <c r="C18" s="3">
        <v>88</v>
      </c>
      <c r="D18" s="3">
        <v>100</v>
      </c>
      <c r="E18" s="3">
        <v>113</v>
      </c>
      <c r="F18" s="3">
        <v>113</v>
      </c>
      <c r="G18" s="3">
        <v>0</v>
      </c>
      <c r="H18" s="3">
        <v>0</v>
      </c>
      <c r="I18" s="3">
        <v>0</v>
      </c>
      <c r="J18" s="3">
        <v>0</v>
      </c>
      <c r="K18" s="5">
        <v>0</v>
      </c>
    </row>
    <row r="19" spans="1:11" x14ac:dyDescent="0.35">
      <c r="A19" s="31">
        <v>300</v>
      </c>
      <c r="B19" s="22">
        <v>88</v>
      </c>
      <c r="C19" s="3">
        <v>100</v>
      </c>
      <c r="D19" s="3">
        <v>113</v>
      </c>
      <c r="E19" s="3">
        <v>113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5">
        <v>0</v>
      </c>
    </row>
    <row r="20" spans="1:11" x14ac:dyDescent="0.35">
      <c r="A20" s="31">
        <v>400</v>
      </c>
      <c r="B20" s="22">
        <v>100</v>
      </c>
      <c r="C20" s="3">
        <v>113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5">
        <v>0</v>
      </c>
    </row>
    <row r="21" spans="1:11" ht="15" thickBot="1" x14ac:dyDescent="0.4">
      <c r="A21" s="33">
        <v>500</v>
      </c>
      <c r="B21" s="6">
        <v>100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8">
        <v>0</v>
      </c>
    </row>
    <row r="22" spans="1:11" ht="15" thickBot="1" x14ac:dyDescent="0.4">
      <c r="A22" s="279" t="s">
        <v>17</v>
      </c>
      <c r="B22" s="280"/>
      <c r="C22" s="280"/>
      <c r="D22" s="280"/>
      <c r="E22" s="280"/>
      <c r="F22" s="280"/>
      <c r="G22" s="280"/>
      <c r="H22" s="280"/>
      <c r="I22" s="280"/>
      <c r="J22" s="280"/>
      <c r="K22" s="281"/>
    </row>
    <row r="23" spans="1:11" x14ac:dyDescent="0.35">
      <c r="A23" s="11">
        <v>16</v>
      </c>
      <c r="B23" s="34">
        <v>20</v>
      </c>
      <c r="C23" s="34">
        <v>25</v>
      </c>
      <c r="D23" s="34">
        <v>31</v>
      </c>
      <c r="E23" s="34">
        <v>41</v>
      </c>
      <c r="F23" s="34">
        <v>47</v>
      </c>
      <c r="G23" s="34">
        <v>59</v>
      </c>
      <c r="H23" s="34">
        <v>75</v>
      </c>
      <c r="I23" s="34">
        <v>88</v>
      </c>
      <c r="J23" s="34">
        <v>100</v>
      </c>
      <c r="K23" s="35">
        <v>113</v>
      </c>
    </row>
    <row r="24" spans="1:11" ht="15" thickBot="1" x14ac:dyDescent="0.4">
      <c r="A24" s="88">
        <v>0.5</v>
      </c>
      <c r="B24" s="39">
        <v>0.75</v>
      </c>
      <c r="C24" s="39">
        <v>1</v>
      </c>
      <c r="D24" s="39">
        <v>1.25</v>
      </c>
      <c r="E24" s="39">
        <v>1.5</v>
      </c>
      <c r="F24" s="39">
        <v>2</v>
      </c>
      <c r="G24" s="39">
        <v>2.5</v>
      </c>
      <c r="H24" s="39">
        <v>3</v>
      </c>
      <c r="I24" s="39">
        <v>3.5</v>
      </c>
      <c r="J24" s="39">
        <v>4</v>
      </c>
      <c r="K24" s="40">
        <v>4.5</v>
      </c>
    </row>
  </sheetData>
  <mergeCells count="4">
    <mergeCell ref="B1:K1"/>
    <mergeCell ref="A1:A3"/>
    <mergeCell ref="B3:K3"/>
    <mergeCell ref="A22:K2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9"/>
  <dimension ref="A1:K21"/>
  <sheetViews>
    <sheetView workbookViewId="0">
      <selection activeCell="C27" sqref="C27"/>
    </sheetView>
  </sheetViews>
  <sheetFormatPr defaultRowHeight="14.5" x14ac:dyDescent="0.35"/>
  <cols>
    <col min="1" max="1" width="5.1796875" bestFit="1" customWidth="1"/>
    <col min="2" max="11" width="11.453125" customWidth="1"/>
  </cols>
  <sheetData>
    <row r="1" spans="1:11" ht="15" thickBot="1" x14ac:dyDescent="0.4">
      <c r="A1" s="282" t="s">
        <v>61</v>
      </c>
      <c r="B1" s="283"/>
      <c r="C1" s="283"/>
      <c r="D1" s="283"/>
      <c r="E1" s="283"/>
      <c r="F1" s="283"/>
      <c r="G1" s="283"/>
      <c r="H1" s="283"/>
      <c r="I1" s="283"/>
      <c r="J1" s="283"/>
      <c r="K1" s="284"/>
    </row>
    <row r="2" spans="1:11" ht="15" thickBot="1" x14ac:dyDescent="0.4">
      <c r="A2" s="285" t="s">
        <v>47</v>
      </c>
      <c r="B2" s="287">
        <v>0.01</v>
      </c>
      <c r="C2" s="288"/>
      <c r="D2" s="287">
        <v>0.02</v>
      </c>
      <c r="E2" s="288"/>
      <c r="F2" s="287">
        <v>0.03</v>
      </c>
      <c r="G2" s="288"/>
      <c r="H2" s="287">
        <v>0.04</v>
      </c>
      <c r="I2" s="288"/>
      <c r="J2" s="287">
        <v>0.05</v>
      </c>
      <c r="K2" s="288"/>
    </row>
    <row r="3" spans="1:11" ht="15" thickBot="1" x14ac:dyDescent="0.4">
      <c r="A3" s="286"/>
      <c r="B3" s="41" t="s">
        <v>45</v>
      </c>
      <c r="C3" s="42" t="s">
        <v>46</v>
      </c>
      <c r="D3" s="41" t="s">
        <v>45</v>
      </c>
      <c r="E3" s="42" t="s">
        <v>46</v>
      </c>
      <c r="F3" s="41" t="s">
        <v>45</v>
      </c>
      <c r="G3" s="42" t="s">
        <v>46</v>
      </c>
      <c r="H3" s="41" t="s">
        <v>45</v>
      </c>
      <c r="I3" s="42" t="s">
        <v>46</v>
      </c>
      <c r="J3" s="41" t="s">
        <v>45</v>
      </c>
      <c r="K3" s="42" t="s">
        <v>46</v>
      </c>
    </row>
    <row r="4" spans="1:11" x14ac:dyDescent="0.35">
      <c r="A4" s="25">
        <v>1.5</v>
      </c>
      <c r="B4" s="54">
        <v>7016</v>
      </c>
      <c r="C4" s="55">
        <v>21054</v>
      </c>
      <c r="D4" s="55">
        <f>B4*2</f>
        <v>14032</v>
      </c>
      <c r="E4" s="55">
        <f>C4*2</f>
        <v>42108</v>
      </c>
      <c r="F4" s="55">
        <f>B4*3</f>
        <v>21048</v>
      </c>
      <c r="G4" s="55">
        <f>C4*3</f>
        <v>63162</v>
      </c>
      <c r="H4" s="55">
        <f>B4*4</f>
        <v>28064</v>
      </c>
      <c r="I4" s="55">
        <f>C4*4</f>
        <v>84216</v>
      </c>
      <c r="J4" s="55">
        <f>B4*5</f>
        <v>35080</v>
      </c>
      <c r="K4" s="56">
        <f>C4*5</f>
        <v>105270</v>
      </c>
    </row>
    <row r="5" spans="1:11" x14ac:dyDescent="0.35">
      <c r="A5" s="26">
        <v>2.5</v>
      </c>
      <c r="B5" s="57">
        <v>11694</v>
      </c>
      <c r="C5" s="58">
        <v>35091</v>
      </c>
      <c r="D5" s="58">
        <f t="shared" ref="D5:D21" si="0">B5*2</f>
        <v>23388</v>
      </c>
      <c r="E5" s="58">
        <f t="shared" ref="E5:E21" si="1">C5*2</f>
        <v>70182</v>
      </c>
      <c r="F5" s="58">
        <f t="shared" ref="F5:F21" si="2">B5*3</f>
        <v>35082</v>
      </c>
      <c r="G5" s="58">
        <f t="shared" ref="G5:G21" si="3">C5*3</f>
        <v>105273</v>
      </c>
      <c r="H5" s="58">
        <f t="shared" ref="H5:H21" si="4">B5*4</f>
        <v>46776</v>
      </c>
      <c r="I5" s="58">
        <f t="shared" ref="I5:I21" si="5">C5*4</f>
        <v>140364</v>
      </c>
      <c r="J5" s="58">
        <f t="shared" ref="J5:J21" si="6">B5*5</f>
        <v>58470</v>
      </c>
      <c r="K5" s="23">
        <f t="shared" ref="K5:K21" si="7">C5*5</f>
        <v>175455</v>
      </c>
    </row>
    <row r="6" spans="1:11" x14ac:dyDescent="0.35">
      <c r="A6" s="27">
        <v>4</v>
      </c>
      <c r="B6" s="57">
        <v>18710</v>
      </c>
      <c r="C6" s="58">
        <v>56145</v>
      </c>
      <c r="D6" s="58">
        <f t="shared" si="0"/>
        <v>37420</v>
      </c>
      <c r="E6" s="58">
        <f t="shared" si="1"/>
        <v>112290</v>
      </c>
      <c r="F6" s="58">
        <f t="shared" si="2"/>
        <v>56130</v>
      </c>
      <c r="G6" s="58">
        <f t="shared" si="3"/>
        <v>168435</v>
      </c>
      <c r="H6" s="58">
        <f t="shared" si="4"/>
        <v>74840</v>
      </c>
      <c r="I6" s="58">
        <f t="shared" si="5"/>
        <v>224580</v>
      </c>
      <c r="J6" s="58">
        <f t="shared" si="6"/>
        <v>93550</v>
      </c>
      <c r="K6" s="23">
        <f t="shared" si="7"/>
        <v>280725</v>
      </c>
    </row>
    <row r="7" spans="1:11" x14ac:dyDescent="0.35">
      <c r="A7" s="27">
        <v>6</v>
      </c>
      <c r="B7" s="57">
        <v>28065</v>
      </c>
      <c r="C7" s="58">
        <v>84218</v>
      </c>
      <c r="D7" s="58">
        <f t="shared" si="0"/>
        <v>56130</v>
      </c>
      <c r="E7" s="58">
        <f t="shared" si="1"/>
        <v>168436</v>
      </c>
      <c r="F7" s="58">
        <f t="shared" si="2"/>
        <v>84195</v>
      </c>
      <c r="G7" s="58">
        <f t="shared" si="3"/>
        <v>252654</v>
      </c>
      <c r="H7" s="58">
        <f t="shared" si="4"/>
        <v>112260</v>
      </c>
      <c r="I7" s="58">
        <f t="shared" si="5"/>
        <v>336872</v>
      </c>
      <c r="J7" s="58">
        <f t="shared" si="6"/>
        <v>140325</v>
      </c>
      <c r="K7" s="23">
        <f t="shared" si="7"/>
        <v>421090</v>
      </c>
    </row>
    <row r="8" spans="1:11" x14ac:dyDescent="0.35">
      <c r="A8" s="27">
        <v>10</v>
      </c>
      <c r="B8" s="57">
        <v>46775</v>
      </c>
      <c r="C8" s="58">
        <v>140363</v>
      </c>
      <c r="D8" s="58">
        <f t="shared" si="0"/>
        <v>93550</v>
      </c>
      <c r="E8" s="58">
        <f t="shared" si="1"/>
        <v>280726</v>
      </c>
      <c r="F8" s="58">
        <f t="shared" si="2"/>
        <v>140325</v>
      </c>
      <c r="G8" s="58">
        <f t="shared" si="3"/>
        <v>421089</v>
      </c>
      <c r="H8" s="58">
        <f t="shared" si="4"/>
        <v>187100</v>
      </c>
      <c r="I8" s="58">
        <f t="shared" si="5"/>
        <v>561452</v>
      </c>
      <c r="J8" s="58">
        <f t="shared" si="6"/>
        <v>233875</v>
      </c>
      <c r="K8" s="23">
        <f t="shared" si="7"/>
        <v>701815</v>
      </c>
    </row>
    <row r="9" spans="1:11" x14ac:dyDescent="0.35">
      <c r="A9" s="27">
        <v>16</v>
      </c>
      <c r="B9" s="57">
        <v>74840</v>
      </c>
      <c r="C9" s="58">
        <v>224581</v>
      </c>
      <c r="D9" s="58">
        <f t="shared" si="0"/>
        <v>149680</v>
      </c>
      <c r="E9" s="58">
        <f t="shared" si="1"/>
        <v>449162</v>
      </c>
      <c r="F9" s="58">
        <f t="shared" si="2"/>
        <v>224520</v>
      </c>
      <c r="G9" s="58">
        <f t="shared" si="3"/>
        <v>673743</v>
      </c>
      <c r="H9" s="58">
        <f t="shared" si="4"/>
        <v>299360</v>
      </c>
      <c r="I9" s="58">
        <f t="shared" si="5"/>
        <v>898324</v>
      </c>
      <c r="J9" s="58">
        <f t="shared" si="6"/>
        <v>374200</v>
      </c>
      <c r="K9" s="23">
        <f t="shared" si="7"/>
        <v>1122905</v>
      </c>
    </row>
    <row r="10" spans="1:11" x14ac:dyDescent="0.35">
      <c r="A10" s="27">
        <v>25</v>
      </c>
      <c r="B10" s="57">
        <v>116938</v>
      </c>
      <c r="C10" s="58">
        <v>350908</v>
      </c>
      <c r="D10" s="58">
        <f t="shared" si="0"/>
        <v>233876</v>
      </c>
      <c r="E10" s="58">
        <f t="shared" si="1"/>
        <v>701816</v>
      </c>
      <c r="F10" s="58">
        <f t="shared" si="2"/>
        <v>350814</v>
      </c>
      <c r="G10" s="58">
        <f t="shared" si="3"/>
        <v>1052724</v>
      </c>
      <c r="H10" s="58">
        <f t="shared" si="4"/>
        <v>467752</v>
      </c>
      <c r="I10" s="58">
        <f t="shared" si="5"/>
        <v>1403632</v>
      </c>
      <c r="J10" s="58">
        <f t="shared" si="6"/>
        <v>584690</v>
      </c>
      <c r="K10" s="23">
        <f t="shared" si="7"/>
        <v>1754540</v>
      </c>
    </row>
    <row r="11" spans="1:11" x14ac:dyDescent="0.35">
      <c r="A11" s="27">
        <v>35</v>
      </c>
      <c r="B11" s="57">
        <v>163713</v>
      </c>
      <c r="C11" s="58">
        <v>491271</v>
      </c>
      <c r="D11" s="58">
        <f t="shared" si="0"/>
        <v>327426</v>
      </c>
      <c r="E11" s="58">
        <f t="shared" si="1"/>
        <v>982542</v>
      </c>
      <c r="F11" s="58">
        <f t="shared" si="2"/>
        <v>491139</v>
      </c>
      <c r="G11" s="58">
        <f t="shared" si="3"/>
        <v>1473813</v>
      </c>
      <c r="H11" s="58">
        <f t="shared" si="4"/>
        <v>654852</v>
      </c>
      <c r="I11" s="58">
        <f t="shared" si="5"/>
        <v>1965084</v>
      </c>
      <c r="J11" s="58">
        <f t="shared" si="6"/>
        <v>818565</v>
      </c>
      <c r="K11" s="23">
        <f t="shared" si="7"/>
        <v>2456355</v>
      </c>
    </row>
    <row r="12" spans="1:11" x14ac:dyDescent="0.35">
      <c r="A12" s="27">
        <v>50</v>
      </c>
      <c r="B12" s="57">
        <v>233876</v>
      </c>
      <c r="C12" s="58">
        <v>701815</v>
      </c>
      <c r="D12" s="58">
        <f t="shared" si="0"/>
        <v>467752</v>
      </c>
      <c r="E12" s="58">
        <f t="shared" si="1"/>
        <v>1403630</v>
      </c>
      <c r="F12" s="58">
        <f t="shared" si="2"/>
        <v>701628</v>
      </c>
      <c r="G12" s="58">
        <f t="shared" si="3"/>
        <v>2105445</v>
      </c>
      <c r="H12" s="58">
        <f t="shared" si="4"/>
        <v>935504</v>
      </c>
      <c r="I12" s="58">
        <f t="shared" si="5"/>
        <v>2807260</v>
      </c>
      <c r="J12" s="58">
        <f t="shared" si="6"/>
        <v>1169380</v>
      </c>
      <c r="K12" s="23">
        <f t="shared" si="7"/>
        <v>3509075</v>
      </c>
    </row>
    <row r="13" spans="1:11" x14ac:dyDescent="0.35">
      <c r="A13" s="27">
        <v>70</v>
      </c>
      <c r="B13" s="57">
        <v>327426</v>
      </c>
      <c r="C13" s="58">
        <v>982542</v>
      </c>
      <c r="D13" s="58">
        <f t="shared" si="0"/>
        <v>654852</v>
      </c>
      <c r="E13" s="58">
        <f t="shared" si="1"/>
        <v>1965084</v>
      </c>
      <c r="F13" s="58">
        <f t="shared" si="2"/>
        <v>982278</v>
      </c>
      <c r="G13" s="58">
        <f t="shared" si="3"/>
        <v>2947626</v>
      </c>
      <c r="H13" s="58">
        <f t="shared" si="4"/>
        <v>1309704</v>
      </c>
      <c r="I13" s="58">
        <f t="shared" si="5"/>
        <v>3930168</v>
      </c>
      <c r="J13" s="58">
        <f t="shared" si="6"/>
        <v>1637130</v>
      </c>
      <c r="K13" s="23">
        <f t="shared" si="7"/>
        <v>4912710</v>
      </c>
    </row>
    <row r="14" spans="1:11" x14ac:dyDescent="0.35">
      <c r="A14" s="27">
        <v>95</v>
      </c>
      <c r="B14" s="57">
        <v>444364</v>
      </c>
      <c r="C14" s="58">
        <v>1333449</v>
      </c>
      <c r="D14" s="58">
        <f t="shared" si="0"/>
        <v>888728</v>
      </c>
      <c r="E14" s="58">
        <f t="shared" si="1"/>
        <v>2666898</v>
      </c>
      <c r="F14" s="58">
        <f t="shared" si="2"/>
        <v>1333092</v>
      </c>
      <c r="G14" s="58">
        <f t="shared" si="3"/>
        <v>4000347</v>
      </c>
      <c r="H14" s="58">
        <f t="shared" si="4"/>
        <v>1777456</v>
      </c>
      <c r="I14" s="58">
        <f t="shared" si="5"/>
        <v>5333796</v>
      </c>
      <c r="J14" s="58">
        <f t="shared" si="6"/>
        <v>2221820</v>
      </c>
      <c r="K14" s="23">
        <f t="shared" si="7"/>
        <v>6667245</v>
      </c>
    </row>
    <row r="15" spans="1:11" x14ac:dyDescent="0.35">
      <c r="A15" s="27">
        <v>120</v>
      </c>
      <c r="B15" s="57">
        <v>561302</v>
      </c>
      <c r="C15" s="58">
        <v>1684357</v>
      </c>
      <c r="D15" s="58">
        <f t="shared" si="0"/>
        <v>1122604</v>
      </c>
      <c r="E15" s="58">
        <f t="shared" si="1"/>
        <v>3368714</v>
      </c>
      <c r="F15" s="58">
        <f t="shared" si="2"/>
        <v>1683906</v>
      </c>
      <c r="G15" s="58">
        <f t="shared" si="3"/>
        <v>5053071</v>
      </c>
      <c r="H15" s="58">
        <f t="shared" si="4"/>
        <v>2245208</v>
      </c>
      <c r="I15" s="58">
        <f t="shared" si="5"/>
        <v>6737428</v>
      </c>
      <c r="J15" s="58">
        <f t="shared" si="6"/>
        <v>2806510</v>
      </c>
      <c r="K15" s="23">
        <f t="shared" si="7"/>
        <v>8421785</v>
      </c>
    </row>
    <row r="16" spans="1:11" x14ac:dyDescent="0.35">
      <c r="A16" s="27">
        <v>150</v>
      </c>
      <c r="B16" s="57">
        <v>701627</v>
      </c>
      <c r="C16" s="58">
        <v>2105446</v>
      </c>
      <c r="D16" s="58">
        <f t="shared" si="0"/>
        <v>1403254</v>
      </c>
      <c r="E16" s="58">
        <f t="shared" si="1"/>
        <v>4210892</v>
      </c>
      <c r="F16" s="58">
        <f t="shared" si="2"/>
        <v>2104881</v>
      </c>
      <c r="G16" s="58">
        <f t="shared" si="3"/>
        <v>6316338</v>
      </c>
      <c r="H16" s="58">
        <f t="shared" si="4"/>
        <v>2806508</v>
      </c>
      <c r="I16" s="58">
        <f t="shared" si="5"/>
        <v>8421784</v>
      </c>
      <c r="J16" s="58">
        <f t="shared" si="6"/>
        <v>3508135</v>
      </c>
      <c r="K16" s="23">
        <f t="shared" si="7"/>
        <v>10527230</v>
      </c>
    </row>
    <row r="17" spans="1:11" x14ac:dyDescent="0.35">
      <c r="A17" s="27">
        <v>185</v>
      </c>
      <c r="B17" s="57">
        <v>865340</v>
      </c>
      <c r="C17" s="58">
        <v>2596717</v>
      </c>
      <c r="D17" s="58">
        <f t="shared" si="0"/>
        <v>1730680</v>
      </c>
      <c r="E17" s="58">
        <f t="shared" si="1"/>
        <v>5193434</v>
      </c>
      <c r="F17" s="58">
        <f t="shared" si="2"/>
        <v>2596020</v>
      </c>
      <c r="G17" s="58">
        <f t="shared" si="3"/>
        <v>7790151</v>
      </c>
      <c r="H17" s="58">
        <f t="shared" si="4"/>
        <v>3461360</v>
      </c>
      <c r="I17" s="58">
        <f t="shared" si="5"/>
        <v>10386868</v>
      </c>
      <c r="J17" s="58">
        <f t="shared" si="6"/>
        <v>4326700</v>
      </c>
      <c r="K17" s="23">
        <f t="shared" si="7"/>
        <v>12983585</v>
      </c>
    </row>
    <row r="18" spans="1:11" x14ac:dyDescent="0.35">
      <c r="A18" s="27">
        <v>240</v>
      </c>
      <c r="B18" s="57">
        <v>1122603</v>
      </c>
      <c r="C18" s="58">
        <v>3368714</v>
      </c>
      <c r="D18" s="58">
        <f t="shared" si="0"/>
        <v>2245206</v>
      </c>
      <c r="E18" s="58">
        <f t="shared" si="1"/>
        <v>6737428</v>
      </c>
      <c r="F18" s="58">
        <f t="shared" si="2"/>
        <v>3367809</v>
      </c>
      <c r="G18" s="58">
        <f t="shared" si="3"/>
        <v>10106142</v>
      </c>
      <c r="H18" s="58">
        <f t="shared" si="4"/>
        <v>4490412</v>
      </c>
      <c r="I18" s="58">
        <f t="shared" si="5"/>
        <v>13474856</v>
      </c>
      <c r="J18" s="58">
        <f t="shared" si="6"/>
        <v>5613015</v>
      </c>
      <c r="K18" s="23">
        <f t="shared" si="7"/>
        <v>16843570</v>
      </c>
    </row>
    <row r="19" spans="1:11" x14ac:dyDescent="0.35">
      <c r="A19" s="27">
        <v>300</v>
      </c>
      <c r="B19" s="57">
        <v>1403254</v>
      </c>
      <c r="C19" s="58">
        <v>4210893</v>
      </c>
      <c r="D19" s="58">
        <f t="shared" si="0"/>
        <v>2806508</v>
      </c>
      <c r="E19" s="58">
        <f t="shared" si="1"/>
        <v>8421786</v>
      </c>
      <c r="F19" s="58">
        <f t="shared" si="2"/>
        <v>4209762</v>
      </c>
      <c r="G19" s="58">
        <f t="shared" si="3"/>
        <v>12632679</v>
      </c>
      <c r="H19" s="58">
        <f t="shared" si="4"/>
        <v>5613016</v>
      </c>
      <c r="I19" s="58">
        <f t="shared" si="5"/>
        <v>16843572</v>
      </c>
      <c r="J19" s="58">
        <f t="shared" si="6"/>
        <v>7016270</v>
      </c>
      <c r="K19" s="23">
        <f t="shared" si="7"/>
        <v>21054465</v>
      </c>
    </row>
    <row r="20" spans="1:11" x14ac:dyDescent="0.35">
      <c r="A20" s="27">
        <v>400</v>
      </c>
      <c r="B20" s="57">
        <v>1871005</v>
      </c>
      <c r="C20" s="58">
        <v>5614400</v>
      </c>
      <c r="D20" s="58">
        <f t="shared" si="0"/>
        <v>3742010</v>
      </c>
      <c r="E20" s="58">
        <f t="shared" si="1"/>
        <v>11228800</v>
      </c>
      <c r="F20" s="58">
        <f t="shared" si="2"/>
        <v>5613015</v>
      </c>
      <c r="G20" s="58">
        <f t="shared" si="3"/>
        <v>16843200</v>
      </c>
      <c r="H20" s="58">
        <f t="shared" si="4"/>
        <v>7484020</v>
      </c>
      <c r="I20" s="58">
        <f t="shared" si="5"/>
        <v>22457600</v>
      </c>
      <c r="J20" s="58">
        <f t="shared" si="6"/>
        <v>9355025</v>
      </c>
      <c r="K20" s="23">
        <f t="shared" si="7"/>
        <v>28072000</v>
      </c>
    </row>
    <row r="21" spans="1:11" ht="15" thickBot="1" x14ac:dyDescent="0.4">
      <c r="A21" s="28">
        <v>500</v>
      </c>
      <c r="B21" s="59">
        <v>2338756</v>
      </c>
      <c r="C21" s="60">
        <v>7018154</v>
      </c>
      <c r="D21" s="60">
        <f t="shared" si="0"/>
        <v>4677512</v>
      </c>
      <c r="E21" s="60">
        <f t="shared" si="1"/>
        <v>14036308</v>
      </c>
      <c r="F21" s="60">
        <f t="shared" si="2"/>
        <v>7016268</v>
      </c>
      <c r="G21" s="60">
        <f t="shared" si="3"/>
        <v>21054462</v>
      </c>
      <c r="H21" s="60">
        <f t="shared" si="4"/>
        <v>9355024</v>
      </c>
      <c r="I21" s="60">
        <f t="shared" si="5"/>
        <v>28072616</v>
      </c>
      <c r="J21" s="60">
        <f t="shared" si="6"/>
        <v>11693780</v>
      </c>
      <c r="K21" s="24">
        <f t="shared" si="7"/>
        <v>35090770</v>
      </c>
    </row>
  </sheetData>
  <mergeCells count="7">
    <mergeCell ref="A1:K1"/>
    <mergeCell ref="A2:A3"/>
    <mergeCell ref="B2:C2"/>
    <mergeCell ref="D2:E2"/>
    <mergeCell ref="F2:G2"/>
    <mergeCell ref="H2:I2"/>
    <mergeCell ref="J2:K2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10"/>
  <dimension ref="A1:B25"/>
  <sheetViews>
    <sheetView workbookViewId="0">
      <selection activeCell="L26" sqref="L26"/>
    </sheetView>
  </sheetViews>
  <sheetFormatPr defaultRowHeight="14.5" x14ac:dyDescent="0.35"/>
  <cols>
    <col min="1" max="2" width="17.81640625" customWidth="1"/>
  </cols>
  <sheetData>
    <row r="1" spans="1:2" ht="44" thickBot="1" x14ac:dyDescent="0.4">
      <c r="A1" s="84" t="s">
        <v>62</v>
      </c>
      <c r="B1" s="85" t="s">
        <v>63</v>
      </c>
    </row>
    <row r="2" spans="1:2" x14ac:dyDescent="0.35">
      <c r="A2" s="46">
        <v>0.5</v>
      </c>
      <c r="B2" s="10">
        <v>0.5</v>
      </c>
    </row>
    <row r="3" spans="1:2" x14ac:dyDescent="0.35">
      <c r="A3" s="22">
        <v>0.75</v>
      </c>
      <c r="B3" s="5">
        <v>0.75</v>
      </c>
    </row>
    <row r="4" spans="1:2" x14ac:dyDescent="0.35">
      <c r="A4" s="22">
        <v>1</v>
      </c>
      <c r="B4" s="5">
        <v>1</v>
      </c>
    </row>
    <row r="5" spans="1:2" x14ac:dyDescent="0.35">
      <c r="A5" s="22">
        <v>1.5</v>
      </c>
      <c r="B5" s="5">
        <v>1.5</v>
      </c>
    </row>
    <row r="6" spans="1:2" x14ac:dyDescent="0.35">
      <c r="A6" s="22">
        <v>2.5</v>
      </c>
      <c r="B6" s="5">
        <v>2.5</v>
      </c>
    </row>
    <row r="7" spans="1:2" x14ac:dyDescent="0.35">
      <c r="A7" s="22">
        <v>4</v>
      </c>
      <c r="B7" s="5">
        <v>4</v>
      </c>
    </row>
    <row r="8" spans="1:2" x14ac:dyDescent="0.35">
      <c r="A8" s="22">
        <v>6</v>
      </c>
      <c r="B8" s="5">
        <v>6</v>
      </c>
    </row>
    <row r="9" spans="1:2" x14ac:dyDescent="0.35">
      <c r="A9" s="22">
        <v>10</v>
      </c>
      <c r="B9" s="5">
        <v>10</v>
      </c>
    </row>
    <row r="10" spans="1:2" x14ac:dyDescent="0.35">
      <c r="A10" s="22">
        <v>16</v>
      </c>
      <c r="B10" s="5">
        <v>16</v>
      </c>
    </row>
    <row r="11" spans="1:2" x14ac:dyDescent="0.35">
      <c r="A11" s="22">
        <v>25</v>
      </c>
      <c r="B11" s="5">
        <v>25</v>
      </c>
    </row>
    <row r="12" spans="1:2" x14ac:dyDescent="0.35">
      <c r="A12" s="22">
        <v>35</v>
      </c>
      <c r="B12" s="5">
        <v>25</v>
      </c>
    </row>
    <row r="13" spans="1:2" x14ac:dyDescent="0.35">
      <c r="A13" s="22">
        <v>50</v>
      </c>
      <c r="B13" s="5">
        <v>25</v>
      </c>
    </row>
    <row r="14" spans="1:2" x14ac:dyDescent="0.35">
      <c r="A14" s="22">
        <v>70</v>
      </c>
      <c r="B14" s="82">
        <v>35</v>
      </c>
    </row>
    <row r="15" spans="1:2" x14ac:dyDescent="0.35">
      <c r="A15" s="22">
        <v>95</v>
      </c>
      <c r="B15" s="82">
        <v>50</v>
      </c>
    </row>
    <row r="16" spans="1:2" x14ac:dyDescent="0.35">
      <c r="A16" s="22">
        <v>120</v>
      </c>
      <c r="B16" s="82">
        <v>70</v>
      </c>
    </row>
    <row r="17" spans="1:2" x14ac:dyDescent="0.35">
      <c r="A17" s="22">
        <v>150</v>
      </c>
      <c r="B17" s="82">
        <v>70</v>
      </c>
    </row>
    <row r="18" spans="1:2" x14ac:dyDescent="0.35">
      <c r="A18" s="22">
        <v>185</v>
      </c>
      <c r="B18" s="82">
        <v>95</v>
      </c>
    </row>
    <row r="19" spans="1:2" x14ac:dyDescent="0.35">
      <c r="A19" s="22">
        <v>240</v>
      </c>
      <c r="B19" s="82">
        <v>120</v>
      </c>
    </row>
    <row r="20" spans="1:2" x14ac:dyDescent="0.35">
      <c r="A20" s="22">
        <v>300</v>
      </c>
      <c r="B20" s="82">
        <v>150</v>
      </c>
    </row>
    <row r="21" spans="1:2" x14ac:dyDescent="0.35">
      <c r="A21" s="22">
        <v>400</v>
      </c>
      <c r="B21" s="82">
        <v>185</v>
      </c>
    </row>
    <row r="22" spans="1:2" x14ac:dyDescent="0.35">
      <c r="A22" s="22">
        <v>500</v>
      </c>
      <c r="B22" s="82">
        <v>240</v>
      </c>
    </row>
    <row r="23" spans="1:2" x14ac:dyDescent="0.35">
      <c r="A23" s="22">
        <v>630</v>
      </c>
      <c r="B23" s="82">
        <v>300</v>
      </c>
    </row>
    <row r="24" spans="1:2" x14ac:dyDescent="0.35">
      <c r="A24" s="22">
        <v>800</v>
      </c>
      <c r="B24" s="82">
        <v>400</v>
      </c>
    </row>
    <row r="25" spans="1:2" ht="15" thickBot="1" x14ac:dyDescent="0.4">
      <c r="A25" s="6">
        <v>1000</v>
      </c>
      <c r="B25" s="83">
        <v>500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1"/>
  <dimension ref="A1:B25"/>
  <sheetViews>
    <sheetView workbookViewId="0">
      <selection activeCell="C3" sqref="C3"/>
    </sheetView>
  </sheetViews>
  <sheetFormatPr defaultRowHeight="14.5" x14ac:dyDescent="0.35"/>
  <cols>
    <col min="1" max="2" width="17.81640625" customWidth="1"/>
  </cols>
  <sheetData>
    <row r="1" spans="1:2" ht="44" thickBot="1" x14ac:dyDescent="0.4">
      <c r="A1" s="84" t="s">
        <v>62</v>
      </c>
      <c r="B1" s="85" t="s">
        <v>81</v>
      </c>
    </row>
    <row r="2" spans="1:2" x14ac:dyDescent="0.35">
      <c r="A2" s="46">
        <v>0.5</v>
      </c>
      <c r="B2" s="10">
        <v>0.5</v>
      </c>
    </row>
    <row r="3" spans="1:2" x14ac:dyDescent="0.35">
      <c r="A3" s="22">
        <v>0.75</v>
      </c>
      <c r="B3" s="5">
        <v>0.75</v>
      </c>
    </row>
    <row r="4" spans="1:2" x14ac:dyDescent="0.35">
      <c r="A4" s="22">
        <v>1</v>
      </c>
      <c r="B4" s="5">
        <v>1</v>
      </c>
    </row>
    <row r="5" spans="1:2" x14ac:dyDescent="0.35">
      <c r="A5" s="22">
        <v>1.5</v>
      </c>
      <c r="B5" s="5">
        <v>1.5</v>
      </c>
    </row>
    <row r="6" spans="1:2" x14ac:dyDescent="0.35">
      <c r="A6" s="22">
        <v>2.5</v>
      </c>
      <c r="B6" s="5">
        <v>2.5</v>
      </c>
    </row>
    <row r="7" spans="1:2" x14ac:dyDescent="0.35">
      <c r="A7" s="22">
        <v>4</v>
      </c>
      <c r="B7" s="5">
        <v>4</v>
      </c>
    </row>
    <row r="8" spans="1:2" x14ac:dyDescent="0.35">
      <c r="A8" s="22">
        <v>6</v>
      </c>
      <c r="B8" s="5">
        <v>6</v>
      </c>
    </row>
    <row r="9" spans="1:2" x14ac:dyDescent="0.35">
      <c r="A9" s="22">
        <v>10</v>
      </c>
      <c r="B9" s="5">
        <v>10</v>
      </c>
    </row>
    <row r="10" spans="1:2" x14ac:dyDescent="0.35">
      <c r="A10" s="22">
        <v>16</v>
      </c>
      <c r="B10" s="5">
        <v>16</v>
      </c>
    </row>
    <row r="11" spans="1:2" x14ac:dyDescent="0.35">
      <c r="A11" s="22">
        <v>25</v>
      </c>
      <c r="B11" s="5">
        <v>16</v>
      </c>
    </row>
    <row r="12" spans="1:2" x14ac:dyDescent="0.35">
      <c r="A12" s="22">
        <v>35</v>
      </c>
      <c r="B12" s="5">
        <v>16</v>
      </c>
    </row>
    <row r="13" spans="1:2" x14ac:dyDescent="0.35">
      <c r="A13" s="22">
        <v>50</v>
      </c>
      <c r="B13" s="5">
        <v>25</v>
      </c>
    </row>
    <row r="14" spans="1:2" x14ac:dyDescent="0.35">
      <c r="A14" s="22">
        <v>70</v>
      </c>
      <c r="B14" s="82">
        <v>35</v>
      </c>
    </row>
    <row r="15" spans="1:2" x14ac:dyDescent="0.35">
      <c r="A15" s="22">
        <v>95</v>
      </c>
      <c r="B15" s="82">
        <v>50</v>
      </c>
    </row>
    <row r="16" spans="1:2" x14ac:dyDescent="0.35">
      <c r="A16" s="22">
        <v>120</v>
      </c>
      <c r="B16" s="82">
        <v>70</v>
      </c>
    </row>
    <row r="17" spans="1:2" x14ac:dyDescent="0.35">
      <c r="A17" s="22">
        <v>150</v>
      </c>
      <c r="B17" s="82">
        <v>70</v>
      </c>
    </row>
    <row r="18" spans="1:2" x14ac:dyDescent="0.35">
      <c r="A18" s="22">
        <v>185</v>
      </c>
      <c r="B18" s="82">
        <v>95</v>
      </c>
    </row>
    <row r="19" spans="1:2" x14ac:dyDescent="0.35">
      <c r="A19" s="22">
        <v>240</v>
      </c>
      <c r="B19" s="82">
        <v>120</v>
      </c>
    </row>
    <row r="20" spans="1:2" x14ac:dyDescent="0.35">
      <c r="A20" s="22">
        <v>300</v>
      </c>
      <c r="B20" s="82">
        <v>150</v>
      </c>
    </row>
    <row r="21" spans="1:2" x14ac:dyDescent="0.35">
      <c r="A21" s="22">
        <v>400</v>
      </c>
      <c r="B21" s="82">
        <v>185</v>
      </c>
    </row>
    <row r="22" spans="1:2" x14ac:dyDescent="0.35">
      <c r="A22" s="22">
        <v>500</v>
      </c>
      <c r="B22" s="82">
        <v>240</v>
      </c>
    </row>
    <row r="23" spans="1:2" x14ac:dyDescent="0.35">
      <c r="A23" s="22">
        <v>630</v>
      </c>
      <c r="B23" s="82">
        <v>300</v>
      </c>
    </row>
    <row r="24" spans="1:2" x14ac:dyDescent="0.35">
      <c r="A24" s="22">
        <v>800</v>
      </c>
      <c r="B24" s="82">
        <v>400</v>
      </c>
    </row>
    <row r="25" spans="1:2" ht="15" thickBot="1" x14ac:dyDescent="0.4">
      <c r="A25" s="6">
        <v>1000</v>
      </c>
      <c r="B25" s="83">
        <v>500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2"/>
  <dimension ref="A1:K28"/>
  <sheetViews>
    <sheetView workbookViewId="0">
      <selection activeCell="C18" sqref="C18"/>
    </sheetView>
  </sheetViews>
  <sheetFormatPr defaultRowHeight="14.5" x14ac:dyDescent="0.35"/>
  <cols>
    <col min="1" max="11" width="9.453125" customWidth="1"/>
  </cols>
  <sheetData>
    <row r="1" spans="1:11" ht="30" customHeight="1" x14ac:dyDescent="0.35">
      <c r="A1" s="289" t="s">
        <v>64</v>
      </c>
      <c r="B1" s="237" t="s">
        <v>9</v>
      </c>
      <c r="C1" s="237"/>
      <c r="D1" s="237"/>
      <c r="E1" s="237"/>
      <c r="F1" s="237"/>
      <c r="G1" s="237"/>
      <c r="H1" s="237"/>
      <c r="I1" s="237"/>
      <c r="J1" s="237"/>
      <c r="K1" s="237"/>
    </row>
    <row r="2" spans="1:11" x14ac:dyDescent="0.35">
      <c r="A2" s="289"/>
      <c r="B2" s="63">
        <v>0.5</v>
      </c>
      <c r="C2" s="63">
        <v>0.75</v>
      </c>
      <c r="D2" s="63">
        <v>1</v>
      </c>
      <c r="E2" s="63">
        <v>1.25</v>
      </c>
      <c r="F2" s="63">
        <v>1.5</v>
      </c>
      <c r="G2" s="63">
        <v>2</v>
      </c>
      <c r="H2" s="63">
        <v>2.5</v>
      </c>
      <c r="I2" s="63">
        <v>3</v>
      </c>
      <c r="J2" s="63">
        <v>3.5</v>
      </c>
      <c r="K2" s="63">
        <v>4</v>
      </c>
    </row>
    <row r="3" spans="1:11" x14ac:dyDescent="0.35">
      <c r="A3" s="63">
        <v>0.5</v>
      </c>
      <c r="B3" s="3">
        <v>32</v>
      </c>
      <c r="C3" s="3"/>
      <c r="D3" s="3"/>
      <c r="E3" s="3"/>
      <c r="F3" s="3"/>
      <c r="G3" s="3"/>
      <c r="H3" s="3"/>
      <c r="I3" s="3"/>
      <c r="J3" s="3"/>
      <c r="K3" s="3"/>
    </row>
    <row r="4" spans="1:11" x14ac:dyDescent="0.35">
      <c r="A4" s="63">
        <v>0.75</v>
      </c>
      <c r="B4" s="3">
        <v>36</v>
      </c>
      <c r="C4" s="3">
        <v>40</v>
      </c>
      <c r="D4" s="3"/>
      <c r="E4" s="3"/>
      <c r="F4" s="3"/>
      <c r="G4" s="3"/>
      <c r="H4" s="3"/>
      <c r="I4" s="3"/>
      <c r="J4" s="3"/>
      <c r="K4" s="3"/>
    </row>
    <row r="5" spans="1:11" x14ac:dyDescent="0.35">
      <c r="A5" s="63">
        <v>1</v>
      </c>
      <c r="B5" s="3">
        <v>41</v>
      </c>
      <c r="C5" s="3">
        <v>45</v>
      </c>
      <c r="D5" s="3">
        <v>50</v>
      </c>
      <c r="E5" s="3"/>
      <c r="F5" s="3"/>
      <c r="G5" s="3"/>
      <c r="H5" s="3"/>
      <c r="I5" s="3"/>
      <c r="J5" s="3"/>
      <c r="K5" s="3"/>
    </row>
    <row r="6" spans="1:11" x14ac:dyDescent="0.35">
      <c r="A6" s="63">
        <v>1.25</v>
      </c>
      <c r="B6" s="3">
        <v>47</v>
      </c>
      <c r="C6" s="3">
        <v>51</v>
      </c>
      <c r="D6" s="3">
        <v>56</v>
      </c>
      <c r="E6" s="3">
        <v>62</v>
      </c>
      <c r="F6" s="3"/>
      <c r="G6" s="3"/>
      <c r="H6" s="3"/>
      <c r="I6" s="3"/>
      <c r="J6" s="3"/>
      <c r="K6" s="3"/>
    </row>
    <row r="7" spans="1:11" x14ac:dyDescent="0.35">
      <c r="A7" s="63">
        <v>1.5</v>
      </c>
      <c r="B7" s="3">
        <v>49</v>
      </c>
      <c r="C7" s="3">
        <v>53</v>
      </c>
      <c r="D7" s="3">
        <v>58</v>
      </c>
      <c r="E7" s="3">
        <v>64</v>
      </c>
      <c r="F7" s="3">
        <v>63</v>
      </c>
      <c r="G7" s="3"/>
      <c r="H7" s="3"/>
      <c r="I7" s="3"/>
      <c r="J7" s="3"/>
      <c r="K7" s="3"/>
    </row>
    <row r="8" spans="1:11" x14ac:dyDescent="0.35">
      <c r="A8" s="63">
        <v>2</v>
      </c>
      <c r="B8" s="3">
        <v>58</v>
      </c>
      <c r="C8" s="3">
        <v>62</v>
      </c>
      <c r="D8" s="3">
        <v>67</v>
      </c>
      <c r="E8" s="3">
        <v>73</v>
      </c>
      <c r="F8" s="3">
        <v>75</v>
      </c>
      <c r="G8" s="3">
        <v>84</v>
      </c>
      <c r="H8" s="3"/>
      <c r="I8" s="3"/>
      <c r="J8" s="3"/>
      <c r="K8" s="3"/>
    </row>
    <row r="9" spans="1:11" x14ac:dyDescent="0.35">
      <c r="A9" s="63">
        <v>2.5</v>
      </c>
      <c r="B9" s="3">
        <v>64</v>
      </c>
      <c r="C9" s="3">
        <v>68</v>
      </c>
      <c r="D9" s="3">
        <v>73</v>
      </c>
      <c r="E9" s="3">
        <v>79</v>
      </c>
      <c r="F9" s="3">
        <v>81</v>
      </c>
      <c r="G9" s="3">
        <v>90</v>
      </c>
      <c r="H9" s="3">
        <v>96</v>
      </c>
      <c r="I9" s="3"/>
      <c r="J9" s="3"/>
      <c r="K9" s="3"/>
    </row>
    <row r="10" spans="1:11" x14ac:dyDescent="0.35">
      <c r="A10" s="63">
        <v>3</v>
      </c>
      <c r="B10" s="3">
        <v>75</v>
      </c>
      <c r="C10" s="3">
        <v>77</v>
      </c>
      <c r="D10" s="3">
        <v>82</v>
      </c>
      <c r="E10" s="3">
        <v>88</v>
      </c>
      <c r="F10" s="3">
        <v>90</v>
      </c>
      <c r="G10" s="3">
        <v>99</v>
      </c>
      <c r="H10" s="3">
        <v>105</v>
      </c>
      <c r="I10" s="3">
        <v>114</v>
      </c>
      <c r="J10" s="3"/>
      <c r="K10" s="3"/>
    </row>
    <row r="11" spans="1:11" x14ac:dyDescent="0.35">
      <c r="A11" s="63">
        <v>3.5</v>
      </c>
      <c r="B11" s="3">
        <v>81</v>
      </c>
      <c r="C11" s="3">
        <v>85</v>
      </c>
      <c r="D11" s="3">
        <v>90</v>
      </c>
      <c r="E11" s="3">
        <v>96</v>
      </c>
      <c r="F11" s="3">
        <v>98</v>
      </c>
      <c r="G11" s="3">
        <v>107</v>
      </c>
      <c r="H11" s="3">
        <v>113</v>
      </c>
      <c r="I11" s="3">
        <v>122</v>
      </c>
      <c r="J11" s="3">
        <v>130</v>
      </c>
      <c r="K11" s="3"/>
    </row>
    <row r="12" spans="1:11" x14ac:dyDescent="0.35">
      <c r="A12" s="63">
        <v>4</v>
      </c>
      <c r="B12" s="3">
        <v>90</v>
      </c>
      <c r="C12" s="3">
        <v>94</v>
      </c>
      <c r="D12" s="3">
        <v>99</v>
      </c>
      <c r="E12" s="3">
        <v>105</v>
      </c>
      <c r="F12" s="3">
        <v>107</v>
      </c>
      <c r="G12" s="3">
        <v>116</v>
      </c>
      <c r="H12" s="3">
        <v>122</v>
      </c>
      <c r="I12" s="3">
        <v>131</v>
      </c>
      <c r="J12" s="3">
        <v>139</v>
      </c>
      <c r="K12" s="3">
        <v>148</v>
      </c>
    </row>
    <row r="13" spans="1:11" x14ac:dyDescent="0.35">
      <c r="A13" s="61"/>
    </row>
    <row r="14" spans="1:11" x14ac:dyDescent="0.35">
      <c r="A14" s="64" t="s">
        <v>65</v>
      </c>
      <c r="B14" s="63">
        <v>0.5</v>
      </c>
      <c r="C14" s="63">
        <v>0.75</v>
      </c>
      <c r="D14" s="63">
        <v>1</v>
      </c>
      <c r="E14" s="63">
        <v>1.25</v>
      </c>
      <c r="F14" s="63">
        <v>1.5</v>
      </c>
      <c r="G14" s="63">
        <v>2</v>
      </c>
      <c r="H14" s="63">
        <v>2.5</v>
      </c>
      <c r="I14" s="63">
        <v>3</v>
      </c>
      <c r="J14" s="63">
        <v>3.5</v>
      </c>
      <c r="K14" s="63">
        <v>4</v>
      </c>
    </row>
    <row r="15" spans="1:11" x14ac:dyDescent="0.35">
      <c r="A15" s="64" t="s">
        <v>8</v>
      </c>
      <c r="B15" s="3">
        <v>27</v>
      </c>
      <c r="C15" s="3">
        <v>31</v>
      </c>
      <c r="D15" s="3">
        <v>35</v>
      </c>
      <c r="E15" s="3">
        <v>41</v>
      </c>
      <c r="F15" s="3">
        <v>43</v>
      </c>
      <c r="G15" s="3">
        <v>52</v>
      </c>
      <c r="H15" s="3">
        <v>58</v>
      </c>
      <c r="I15" s="3">
        <v>67</v>
      </c>
      <c r="J15" s="3">
        <v>74</v>
      </c>
      <c r="K15" s="3">
        <v>84</v>
      </c>
    </row>
    <row r="16" spans="1:11" x14ac:dyDescent="0.35">
      <c r="A16" s="61"/>
    </row>
    <row r="17" spans="1:3" x14ac:dyDescent="0.35">
      <c r="A17" s="290" t="s">
        <v>66</v>
      </c>
      <c r="B17" s="290"/>
    </row>
    <row r="18" spans="1:3" x14ac:dyDescent="0.35">
      <c r="A18" s="63" t="s">
        <v>67</v>
      </c>
      <c r="B18" s="3" t="s">
        <v>68</v>
      </c>
    </row>
    <row r="19" spans="1:3" x14ac:dyDescent="0.35">
      <c r="A19" s="63">
        <v>0.5</v>
      </c>
      <c r="B19" s="3">
        <v>10</v>
      </c>
    </row>
    <row r="20" spans="1:3" x14ac:dyDescent="0.35">
      <c r="A20" s="63">
        <v>0.75</v>
      </c>
      <c r="B20" s="3">
        <v>12</v>
      </c>
    </row>
    <row r="21" spans="1:3" x14ac:dyDescent="0.35">
      <c r="A21" s="63">
        <v>1</v>
      </c>
      <c r="B21" s="3">
        <v>15</v>
      </c>
    </row>
    <row r="22" spans="1:3" x14ac:dyDescent="0.35">
      <c r="A22" s="63">
        <v>1.25</v>
      </c>
      <c r="B22" s="3">
        <v>19</v>
      </c>
    </row>
    <row r="23" spans="1:3" x14ac:dyDescent="0.35">
      <c r="A23" s="63">
        <v>1.5</v>
      </c>
      <c r="B23" s="3">
        <v>21</v>
      </c>
    </row>
    <row r="24" spans="1:3" x14ac:dyDescent="0.35">
      <c r="A24" s="63">
        <v>2</v>
      </c>
      <c r="B24" s="3">
        <v>22</v>
      </c>
    </row>
    <row r="25" spans="1:3" x14ac:dyDescent="0.35">
      <c r="A25" s="63">
        <v>2.5</v>
      </c>
      <c r="B25" s="3">
        <v>27</v>
      </c>
    </row>
    <row r="26" spans="1:3" x14ac:dyDescent="0.35">
      <c r="A26" s="63">
        <v>3</v>
      </c>
      <c r="B26" s="3">
        <v>38</v>
      </c>
    </row>
    <row r="27" spans="1:3" x14ac:dyDescent="0.35">
      <c r="A27" s="62"/>
    </row>
    <row r="28" spans="1:3" x14ac:dyDescent="0.35">
      <c r="A28" s="291" t="s">
        <v>69</v>
      </c>
      <c r="B28" s="291"/>
      <c r="C28" s="291"/>
    </row>
  </sheetData>
  <mergeCells count="4">
    <mergeCell ref="A1:A2"/>
    <mergeCell ref="B1:K1"/>
    <mergeCell ref="A17:B17"/>
    <mergeCell ref="A28:C28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13"/>
  <dimension ref="A1:D20"/>
  <sheetViews>
    <sheetView workbookViewId="0">
      <selection activeCell="C3" sqref="C3"/>
    </sheetView>
  </sheetViews>
  <sheetFormatPr defaultRowHeight="14.5" x14ac:dyDescent="0.35"/>
  <cols>
    <col min="1" max="4" width="11" customWidth="1"/>
  </cols>
  <sheetData>
    <row r="1" spans="1:4" x14ac:dyDescent="0.35">
      <c r="A1" s="292" t="s">
        <v>98</v>
      </c>
      <c r="B1" s="292"/>
      <c r="C1" s="292"/>
      <c r="D1" s="292"/>
    </row>
    <row r="2" spans="1:4" ht="29" x14ac:dyDescent="0.35">
      <c r="A2" s="132" t="s">
        <v>102</v>
      </c>
      <c r="B2" s="128" t="s">
        <v>99</v>
      </c>
      <c r="C2" s="132" t="s">
        <v>101</v>
      </c>
      <c r="D2" s="128" t="s">
        <v>100</v>
      </c>
    </row>
    <row r="3" spans="1:4" x14ac:dyDescent="0.35">
      <c r="A3" s="129">
        <v>500</v>
      </c>
      <c r="B3" s="130">
        <v>38</v>
      </c>
      <c r="C3" s="130">
        <f t="shared" ref="C3:C8" si="0">(PI()*B3^2)/4</f>
        <v>1134.1149479459152</v>
      </c>
      <c r="D3" s="131">
        <v>4.7380000000000004</v>
      </c>
    </row>
    <row r="4" spans="1:4" x14ac:dyDescent="0.35">
      <c r="A4" s="129">
        <v>400</v>
      </c>
      <c r="B4" s="130">
        <v>33.9</v>
      </c>
      <c r="C4" s="130">
        <f t="shared" si="0"/>
        <v>902.58742335798138</v>
      </c>
      <c r="D4" s="131">
        <v>3.8420000000000001</v>
      </c>
    </row>
    <row r="5" spans="1:4" x14ac:dyDescent="0.35">
      <c r="A5" s="129">
        <v>300</v>
      </c>
      <c r="B5" s="130">
        <v>29.8</v>
      </c>
      <c r="C5" s="130">
        <f t="shared" si="0"/>
        <v>697.46498502347004</v>
      </c>
      <c r="D5" s="131">
        <v>2.867</v>
      </c>
    </row>
    <row r="6" spans="1:4" x14ac:dyDescent="0.35">
      <c r="A6" s="129">
        <v>240</v>
      </c>
      <c r="B6" s="130">
        <v>27.3</v>
      </c>
      <c r="C6" s="130">
        <f t="shared" si="0"/>
        <v>585.34939719848433</v>
      </c>
      <c r="D6" s="131">
        <v>2.2769999999999997</v>
      </c>
    </row>
    <row r="7" spans="1:4" x14ac:dyDescent="0.35">
      <c r="A7" s="129">
        <v>185</v>
      </c>
      <c r="B7" s="130">
        <v>23.4</v>
      </c>
      <c r="C7" s="130">
        <f t="shared" si="0"/>
        <v>430.05261834990671</v>
      </c>
      <c r="D7" s="131">
        <v>1.712</v>
      </c>
    </row>
    <row r="8" spans="1:4" x14ac:dyDescent="0.35">
      <c r="A8" s="129">
        <v>150</v>
      </c>
      <c r="B8" s="130">
        <v>21.2</v>
      </c>
      <c r="C8" s="130">
        <f t="shared" si="0"/>
        <v>352.98935055734916</v>
      </c>
      <c r="D8" s="131">
        <v>1.423</v>
      </c>
    </row>
    <row r="9" spans="1:4" x14ac:dyDescent="0.35">
      <c r="A9" s="129">
        <v>120</v>
      </c>
      <c r="B9" s="130">
        <v>19</v>
      </c>
      <c r="C9" s="130">
        <f t="shared" ref="C9:C20" si="1">(PI()*B9^2)/4</f>
        <v>283.5287369864788</v>
      </c>
      <c r="D9" s="131">
        <v>1.1299999999999999</v>
      </c>
    </row>
    <row r="10" spans="1:4" x14ac:dyDescent="0.35">
      <c r="A10" s="129">
        <v>95</v>
      </c>
      <c r="B10" s="130">
        <v>17</v>
      </c>
      <c r="C10" s="130">
        <f t="shared" si="1"/>
        <v>226.98006922186255</v>
      </c>
      <c r="D10" s="131">
        <v>0.89900000000000002</v>
      </c>
    </row>
    <row r="11" spans="1:4" x14ac:dyDescent="0.35">
      <c r="A11" s="129">
        <v>70</v>
      </c>
      <c r="B11" s="130">
        <v>15.4</v>
      </c>
      <c r="C11" s="130">
        <f t="shared" si="1"/>
        <v>186.26502843133886</v>
      </c>
      <c r="D11" s="131">
        <v>0.68500000000000005</v>
      </c>
    </row>
    <row r="12" spans="1:4" x14ac:dyDescent="0.35">
      <c r="A12" s="129">
        <v>50</v>
      </c>
      <c r="B12" s="130">
        <v>14</v>
      </c>
      <c r="C12" s="130">
        <f t="shared" si="1"/>
        <v>153.93804002589985</v>
      </c>
      <c r="D12" s="131">
        <v>0.50900000000000001</v>
      </c>
    </row>
    <row r="13" spans="1:4" x14ac:dyDescent="0.35">
      <c r="A13" s="129">
        <v>35</v>
      </c>
      <c r="B13" s="130">
        <v>11.3</v>
      </c>
      <c r="C13" s="130">
        <f t="shared" si="1"/>
        <v>100.28749148422018</v>
      </c>
      <c r="D13" s="131">
        <v>0.36099999999999999</v>
      </c>
    </row>
    <row r="14" spans="1:4" x14ac:dyDescent="0.35">
      <c r="A14" s="129">
        <v>25</v>
      </c>
      <c r="B14" s="130">
        <v>10.4</v>
      </c>
      <c r="C14" s="130">
        <f t="shared" si="1"/>
        <v>84.948665353068009</v>
      </c>
      <c r="D14" s="131">
        <v>0.27399999999999997</v>
      </c>
    </row>
    <row r="15" spans="1:4" x14ac:dyDescent="0.35">
      <c r="A15" s="129">
        <v>16</v>
      </c>
      <c r="B15" s="130">
        <v>8.6</v>
      </c>
      <c r="C15" s="130">
        <f t="shared" si="1"/>
        <v>58.088048164875268</v>
      </c>
      <c r="D15" s="131">
        <v>0.17800000000000002</v>
      </c>
    </row>
    <row r="16" spans="1:4" x14ac:dyDescent="0.35">
      <c r="A16" s="129">
        <v>10</v>
      </c>
      <c r="B16" s="130">
        <v>7.7</v>
      </c>
      <c r="C16" s="130">
        <f t="shared" si="1"/>
        <v>46.566257107834716</v>
      </c>
      <c r="D16" s="131">
        <v>0.12300000000000001</v>
      </c>
    </row>
    <row r="17" spans="1:4" x14ac:dyDescent="0.35">
      <c r="A17" s="129">
        <v>6</v>
      </c>
      <c r="B17" s="130">
        <v>6.2</v>
      </c>
      <c r="C17" s="130">
        <f t="shared" si="1"/>
        <v>30.190705400997917</v>
      </c>
      <c r="D17" s="131">
        <v>7.9000000000000001E-2</v>
      </c>
    </row>
    <row r="18" spans="1:4" x14ac:dyDescent="0.35">
      <c r="A18" s="129">
        <v>4</v>
      </c>
      <c r="B18" s="130">
        <v>5.7</v>
      </c>
      <c r="C18" s="130">
        <f t="shared" si="1"/>
        <v>25.517586328783096</v>
      </c>
      <c r="D18" s="131">
        <v>5.9000000000000004E-2</v>
      </c>
    </row>
    <row r="19" spans="1:4" x14ac:dyDescent="0.35">
      <c r="A19" s="129">
        <v>2.5</v>
      </c>
      <c r="B19" s="130">
        <v>5.0999999999999996</v>
      </c>
      <c r="C19" s="130">
        <f t="shared" si="1"/>
        <v>20.428206229967628</v>
      </c>
      <c r="D19" s="131">
        <v>4.4000000000000004E-2</v>
      </c>
    </row>
    <row r="20" spans="1:4" x14ac:dyDescent="0.35">
      <c r="A20" s="129">
        <v>1.5</v>
      </c>
      <c r="B20" s="130">
        <v>4.7</v>
      </c>
      <c r="C20" s="130">
        <f t="shared" si="1"/>
        <v>17.349445429449634</v>
      </c>
      <c r="D20" s="131">
        <v>3.3000000000000002E-2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3</vt:i4>
      </vt:variant>
    </vt:vector>
  </HeadingPairs>
  <TitlesOfParts>
    <vt:vector size="18" baseType="lpstr">
      <vt:lpstr>QUADRO DE CARGA</vt:lpstr>
      <vt:lpstr>AGRUPAMENTO</vt:lpstr>
      <vt:lpstr>TEMPERATURA</vt:lpstr>
      <vt:lpstr>DISJUNTORES</vt:lpstr>
      <vt:lpstr>CAP CONDUÇÃO 70º</vt:lpstr>
      <vt:lpstr>CAP CONDUÇÃO 90º</vt:lpstr>
      <vt:lpstr>AWG</vt:lpstr>
      <vt:lpstr>BARRAMENTO</vt:lpstr>
      <vt:lpstr>EQUIPAMENTOS</vt:lpstr>
      <vt:lpstr>FIOS POR TUBO</vt:lpstr>
      <vt:lpstr>QUEDA DE TENSÃO</vt:lpstr>
      <vt:lpstr>NEUTRO</vt:lpstr>
      <vt:lpstr>TERRA</vt:lpstr>
      <vt:lpstr>CAIXA DE PASSAGEM</vt:lpstr>
      <vt:lpstr>ÁREA DO CABO 90°C</vt:lpstr>
      <vt:lpstr>AWG!Area_de_impressao</vt:lpstr>
      <vt:lpstr>EQUIPAMENTOS!Area_de_impressao</vt:lpstr>
      <vt:lpstr>'QUADRO DE CARGA'!Area_de_impressao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</dc:creator>
  <cp:lastModifiedBy>Rodrigo Vieira UERJ</cp:lastModifiedBy>
  <cp:lastPrinted>2025-03-31T18:24:34Z</cp:lastPrinted>
  <dcterms:created xsi:type="dcterms:W3CDTF">2016-02-17T12:44:11Z</dcterms:created>
  <dcterms:modified xsi:type="dcterms:W3CDTF">2026-06-09T20:56:31Z</dcterms:modified>
</cp:coreProperties>
</file>